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acorntechservices.sharepoint.com/sites/AcornFiles/Shared Documents/Account Management/"/>
    </mc:Choice>
  </mc:AlternateContent>
  <xr:revisionPtr revIDLastSave="0" documentId="8_{9EAF4D02-720B-4D79-9072-ACBE09584DE3}" xr6:coauthVersionLast="47" xr6:coauthVersionMax="47" xr10:uidLastSave="{00000000-0000-0000-0000-000000000000}"/>
  <bookViews>
    <workbookView xWindow="-120" yWindow="-120" windowWidth="38640" windowHeight="21120" firstSheet="4" xr2:uid="{89363AF8-59B8-F44C-AB96-A35E185013B9}"/>
  </bookViews>
  <sheets>
    <sheet name="Customer status" sheetId="1" r:id="rId1"/>
    <sheet name="Project Rate" sheetId="2" r:id="rId2"/>
    <sheet name="MRC Contracted Rate" sheetId="3" r:id="rId3"/>
    <sheet name="Sheet1" sheetId="4" r:id="rId4"/>
    <sheet name="MyIT QBR Report standards" sheetId="5" r:id="rId5"/>
    <sheet name="MRC - True UP Planning" sheetId="6" r:id="rId6"/>
  </sheets>
  <definedNames>
    <definedName name="_xlnm._FilterDatabase" localSheetId="0" hidden="1">'Customer status'!$F$1:$F$76</definedName>
    <definedName name="_xlnm._FilterDatabase" localSheetId="2" hidden="1">'MRC Contracted Rate'!$A$5:$M$61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0" i="6" l="1"/>
  <c r="G89" i="6"/>
  <c r="G161" i="6" l="1"/>
  <c r="G162" i="6"/>
  <c r="G163" i="6"/>
  <c r="G164" i="6"/>
  <c r="G165" i="6"/>
  <c r="G166" i="6"/>
  <c r="G167" i="6"/>
  <c r="G168" i="6"/>
  <c r="G169" i="6"/>
  <c r="G170" i="6"/>
  <c r="G150" i="6"/>
  <c r="G151" i="6"/>
  <c r="G152" i="6"/>
  <c r="G153" i="6"/>
  <c r="G154" i="6"/>
  <c r="G155" i="6"/>
  <c r="G156" i="6"/>
  <c r="G157" i="6"/>
  <c r="G158" i="6"/>
  <c r="G159" i="6"/>
  <c r="G139" i="6"/>
  <c r="G140" i="6"/>
  <c r="G141" i="6"/>
  <c r="G142" i="6"/>
  <c r="G143" i="6"/>
  <c r="G144" i="6"/>
  <c r="G145" i="6"/>
  <c r="G146" i="6"/>
  <c r="G147" i="6"/>
  <c r="G148" i="6"/>
  <c r="G128" i="6"/>
  <c r="G129" i="6"/>
  <c r="G130" i="6"/>
  <c r="G131" i="6"/>
  <c r="G132" i="6"/>
  <c r="G133" i="6"/>
  <c r="G134" i="6"/>
  <c r="G135" i="6"/>
  <c r="G136" i="6"/>
  <c r="G137" i="6"/>
  <c r="G117" i="6"/>
  <c r="G118" i="6"/>
  <c r="G119" i="6"/>
  <c r="G120" i="6"/>
  <c r="G121" i="6"/>
  <c r="G122" i="6"/>
  <c r="G123" i="6"/>
  <c r="G124" i="6"/>
  <c r="G125" i="6"/>
  <c r="G126" i="6"/>
  <c r="G106" i="6"/>
  <c r="G107" i="6"/>
  <c r="G108" i="6"/>
  <c r="G109" i="6"/>
  <c r="G110" i="6"/>
  <c r="G111" i="6"/>
  <c r="G112" i="6"/>
  <c r="G113" i="6"/>
  <c r="G114" i="6"/>
  <c r="G115" i="6"/>
  <c r="G95" i="6"/>
  <c r="G96" i="6"/>
  <c r="G97" i="6"/>
  <c r="G98" i="6"/>
  <c r="G99" i="6"/>
  <c r="G100" i="6"/>
  <c r="G101" i="6"/>
  <c r="G102" i="6"/>
  <c r="G103" i="6"/>
  <c r="G104" i="6"/>
  <c r="G84" i="6"/>
  <c r="G85" i="6"/>
  <c r="G86" i="6"/>
  <c r="G87" i="6"/>
  <c r="G88" i="6"/>
  <c r="G91" i="6"/>
  <c r="G92" i="6"/>
  <c r="G93" i="6"/>
  <c r="G73" i="6"/>
  <c r="G74" i="6"/>
  <c r="G75" i="6"/>
  <c r="G76" i="6"/>
  <c r="G77" i="6"/>
  <c r="G78" i="6"/>
  <c r="G79" i="6"/>
  <c r="G80" i="6"/>
  <c r="G81" i="6"/>
  <c r="G82" i="6"/>
  <c r="G61" i="6"/>
  <c r="G62" i="6"/>
  <c r="G63" i="6"/>
  <c r="G64" i="6"/>
  <c r="G65" i="6"/>
  <c r="G67" i="6"/>
  <c r="G68" i="6"/>
  <c r="G70" i="6"/>
  <c r="G71" i="6"/>
  <c r="G50" i="6"/>
  <c r="G51" i="6"/>
  <c r="G52" i="6"/>
  <c r="G53" i="6"/>
  <c r="G54" i="6"/>
  <c r="G55" i="6"/>
  <c r="G56" i="6"/>
  <c r="G57" i="6"/>
  <c r="G58" i="6"/>
  <c r="G59" i="6"/>
  <c r="G39" i="6"/>
  <c r="G40" i="6"/>
  <c r="G41" i="6"/>
  <c r="G42" i="6"/>
  <c r="G43" i="6"/>
  <c r="G44" i="6"/>
  <c r="G45" i="6"/>
  <c r="G46" i="6"/>
  <c r="G47" i="6"/>
  <c r="G48" i="6"/>
  <c r="G25" i="6"/>
  <c r="G26" i="6"/>
  <c r="G28" i="6"/>
  <c r="G29" i="6"/>
  <c r="G30" i="6"/>
  <c r="G31" i="6"/>
  <c r="G34" i="6"/>
  <c r="G35" i="6"/>
  <c r="G36" i="6"/>
  <c r="G37" i="6"/>
  <c r="G14" i="6"/>
  <c r="G15" i="6"/>
  <c r="G16" i="6"/>
  <c r="G17" i="6"/>
  <c r="G18" i="6"/>
  <c r="G19" i="6"/>
  <c r="G20" i="6"/>
  <c r="G21" i="6"/>
  <c r="G22" i="6"/>
  <c r="G23" i="6"/>
  <c r="G5" i="6" l="1"/>
  <c r="G6" i="6"/>
  <c r="G7" i="6"/>
  <c r="G8" i="6"/>
  <c r="G9" i="6"/>
  <c r="G10" i="6"/>
  <c r="G11" i="6"/>
  <c r="G12" i="6"/>
  <c r="I32" i="3" l="1"/>
  <c r="F59" i="3"/>
  <c r="G59" i="3"/>
  <c r="H59" i="3"/>
  <c r="I9" i="3"/>
  <c r="I11" i="3"/>
  <c r="I10" i="3"/>
  <c r="I12" i="3"/>
  <c r="I14" i="3"/>
  <c r="I15" i="3"/>
  <c r="I16" i="3"/>
  <c r="I17" i="3"/>
  <c r="I18" i="3"/>
  <c r="I19" i="3"/>
  <c r="I20" i="3"/>
  <c r="I21" i="3"/>
  <c r="I22" i="3"/>
  <c r="I23" i="3"/>
  <c r="I25" i="3"/>
  <c r="I27" i="3"/>
  <c r="I28" i="3"/>
  <c r="I30" i="3"/>
  <c r="I31" i="3"/>
  <c r="I33" i="3"/>
  <c r="I34" i="3"/>
  <c r="I35" i="3"/>
  <c r="I36" i="3"/>
  <c r="I37" i="3"/>
  <c r="I38" i="3"/>
  <c r="I39" i="3"/>
  <c r="I40" i="3"/>
  <c r="I42" i="3"/>
  <c r="I41" i="3"/>
  <c r="I43" i="3"/>
  <c r="I44" i="3"/>
  <c r="I45" i="3"/>
  <c r="I47" i="3"/>
  <c r="I48" i="3"/>
  <c r="I49" i="3"/>
  <c r="I50" i="3"/>
  <c r="I51" i="3"/>
  <c r="I52" i="3"/>
  <c r="I53" i="3"/>
  <c r="I54" i="3"/>
  <c r="I55" i="3"/>
  <c r="I56" i="3"/>
  <c r="I57" i="3"/>
  <c r="I58" i="3"/>
  <c r="I7" i="3"/>
  <c r="I8" i="3"/>
  <c r="I6" i="3"/>
  <c r="I59" i="3" l="1"/>
  <c r="I6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tc={7DB1404D-0A23-404F-A554-A6815A4604B0}</author>
    <author>tc={7D4335C7-8C8D-4940-90C3-235F303FEB56}</author>
    <author>tc={3999B502-1F23-4155-AF45-DF5E3C8D6D08}</author>
    <author>tc={B2980886-2CDE-4F83-AD67-041920395784}</author>
    <author>tc={F2F36E20-FC10-4BF1-9453-E0A5FD08E1DD}</author>
    <author>tc={4F592E1B-DA0E-4C5E-B66D-E31BC49264E3}</author>
    <author>tc={48B812CA-C179-4915-BD42-17F0E92671FD}</author>
    <author>tc={D1ABC9B0-6507-4522-9776-01C5C88789F7}</author>
    <author>tc={182DB964-8AC7-47A7-BE7B-E9A3DD7BDF77}</author>
    <author>tc={ECC1C768-4F2F-49E4-BA69-23F29ABAF1E3}</author>
    <author>tc={4C3D4204-9BC2-4F1B-9941-2E6A8F108AB2}</author>
    <author>tc={2DFFC0BA-0446-432E-BB46-C31107DB2398}</author>
    <author>tc={5C7AF684-772F-4EB0-9F84-2A2041CF9DFA}</author>
    <author>tc={F29D19A8-8059-4710-AD5E-4F47B80E205A}</author>
    <author>tc={B1772F75-741A-446D-BA8D-B3194A63B0A8}</author>
    <author>tc={67273B8F-65AD-4FDF-9302-665D55561039}</author>
    <author>tc={E0C6A48E-0738-4A7B-8FFD-D17BD20C40F5}</author>
    <author>tc={61F459AF-073D-4606-847A-803733DCF2DF}</author>
    <author>tc={B5180C6B-84B1-4909-9764-5198E181C0C4}</author>
    <author>tc={E14DD9D9-06B6-4701-8DC1-3F12BB21FCBE}</author>
    <author>tc={620A01EB-4498-4F7A-A4B7-FA5F9EA4E8B0}</author>
    <author>tc={3D313ECA-A109-4F85-8F35-8014553A5A8F}</author>
    <author>tc={54A1EAEC-F430-4131-B946-5D0F5ADB6AFC}</author>
    <author>tc={4D8DF2AA-6F22-46F9-8716-307583F25B87}</author>
    <author>tc={38459941-3AB6-4DDE-BA87-8E6DEB1D4132}</author>
    <author>tc={9E6DC657-FC1C-4270-90EB-D79405D9BAEC}</author>
    <author>tc={0C6741E7-8F13-42E3-B423-84B94D5F926D}</author>
    <author>tc={CFE12ED9-7324-4F99-A878-B2BEAD70A214}</author>
    <author>tc={5ED9DEE9-CF05-4A3E-8682-98F8D4A7681A}</author>
    <author>tc={0BBEA984-0AB3-41B2-A5F0-2206CF295E0F}</author>
    <author>tc={745A6A3B-6D86-4E00-AE01-B19E490F692E}</author>
    <author>tc={F09C43B2-F942-4B3C-9A21-D131151F5A23}</author>
    <author>tc={2EDF4BF3-7B6C-493B-8DDA-32086500D0D6}</author>
    <author>tc={F75AB859-68E4-4B62-A53C-59F10D1BDD32}</author>
    <author>tc={35144CB5-7CAD-437F-AC55-FAD70FE2917B}</author>
    <author>tc={D734E6BB-A721-407F-B5B0-1E1FB4350E97}</author>
  </authors>
  <commentList>
    <comment ref="Q1" authorId="0" shapeId="0" xr:uid="{7DB1404D-0A23-404F-A554-A6815A4604B0}">
      <text>
        <t>[Threaded comment]
Your version of Excel allows you to read this threaded comment; however, any edits to it will get removed if the file is opened in a newer version of Excel. Learn more: https://go.microsoft.com/fwlink/?linkid=870924
Comment:
    NC - Not Continuous
CB - Continuous Backup</t>
      </text>
    </comment>
    <comment ref="T1" authorId="1" shapeId="0" xr:uid="{7D4335C7-8C8D-4940-90C3-235F303FEB56}">
      <text>
        <t>[Threaded comment]
Your version of Excel allows you to read this threaded comment; however, any edits to it will get removed if the file is opened in a newer version of Excel. Learn more: https://go.microsoft.com/fwlink/?linkid=870924
Comment:
    APPLICATION Inventory/support contract and is it currently Supported? Support term? Who owns the contract? What type/limits of coverage/licensing? Who are SME’s both Acorn and Customer? Glue updated with contact info and documentation like install guide? (This whole effort needs a form/guide for consistency).
ADD inventory result to Smartsheets showing what we do and don’t support.</t>
      </text>
    </comment>
    <comment ref="K2" authorId="2" shapeId="0" xr:uid="{3999B502-1F23-4155-AF45-DF5E3C8D6D08}">
      <text>
        <t>[Threaded comment]
Your version of Excel allows you to read this threaded comment; however, any edits to it will get removed if the file is opened in a newer version of Excel. Learn more: https://go.microsoft.com/fwlink/?linkid=870924
Comment:
    Adam Farkas:
Needs offline inventory updates and cleaned up report. ALSO needs to assess MRC true-up readiness and evidence. AND review with Craig prior to actual call
Reply:
    RED Highlight = Needs to complete QBR Reports</t>
      </text>
    </comment>
    <comment ref="S2" authorId="3" shapeId="0" xr:uid="{B2980886-2CDE-4F83-AD67-041920395784}">
      <text>
        <t>[Threaded comment]
Your version of Excel allows you to read this threaded comment; however, any edits to it will get removed if the file is opened in a newer version of Excel. Learn more: https://go.microsoft.com/fwlink/?linkid=870924
Comment:
    This is the Smartsheet standard needed for all Smartsheets</t>
      </text>
    </comment>
    <comment ref="S4" authorId="4" shapeId="0" xr:uid="{F2F36E20-FC10-4BF1-9453-E0A5FD08E1DD}">
      <text>
        <t>[Threaded comment]
Your version of Excel allows you to read this threaded comment; however, any edits to it will get removed if the file is opened in a newer version of Excel. Learn more: https://go.microsoft.com/fwlink/?linkid=870924
Comment:
    Avalon Projects - Smartsheet.com</t>
      </text>
    </comment>
    <comment ref="S5" authorId="5" shapeId="0" xr:uid="{4F592E1B-DA0E-4C5E-B66D-E31BC49264E3}">
      <text>
        <t>[Threaded comment]
Your version of Excel allows you to read this threaded comment; however, any edits to it will get removed if the file is opened in a newer version of Excel. Learn more: https://go.microsoft.com/fwlink/?linkid=870924
Comment:
    COJK Projects - Smartsheet.com</t>
      </text>
    </comment>
    <comment ref="S6" authorId="6" shapeId="0" xr:uid="{48B812CA-C179-4915-BD42-17F0E92671FD}">
      <text>
        <t>[Threaded comment]
Your version of Excel allows you to read this threaded comment; however, any edits to it will get removed if the file is opened in a newer version of Excel. Learn more: https://go.microsoft.com/fwlink/?linkid=870924
Comment:
    (7) COV - Projects - Smartsheet.com</t>
      </text>
    </comment>
    <comment ref="S7" authorId="7" shapeId="0" xr:uid="{D1ABC9B0-6507-4522-9776-01C5C88789F7}">
      <text>
        <t>[Threaded comment]
Your version of Excel allows you to read this threaded comment; however, any edits to it will get removed if the file is opened in a newer version of Excel. Learn more: https://go.microsoft.com/fwlink/?linkid=870924
Comment:
    CDP Projects - Smartsheet.com</t>
      </text>
    </comment>
    <comment ref="C8" authorId="8" shapeId="0" xr:uid="{182DB964-8AC7-47A7-BE7B-E9A3DD7BDF77}">
      <text>
        <t>[Threaded comment]
Your version of Excel allows you to read this threaded comment; however, any edits to it will get removed if the file is opened in a newer version of Excel. Learn more: https://go.microsoft.com/fwlink/?linkid=870924
Comment:
    1 yr left to extend the contract. Craig has made progress/confidence in the renewal after extension.</t>
      </text>
    </comment>
    <comment ref="S8" authorId="9" shapeId="0" xr:uid="{ECC1C768-4F2F-49E4-BA69-23F29ABAF1E3}">
      <text>
        <t>[Threaded comment]
Your version of Excel allows you to read this threaded comment; however, any edits to it will get removed if the file is opened in a newer version of Excel. Learn more: https://go.microsoft.com/fwlink/?linkid=870924
Comment:
    https://app.smartsheet.com/sheets/PVWcWHqM7jMpWgXvJWg7V6rcqgGp8pQHXQPPGXJ1?view=grid</t>
      </text>
    </comment>
    <comment ref="S9" authorId="10" shapeId="0" xr:uid="{4C3D4204-9BC2-4F1B-9941-2E6A8F108AB2}">
      <text>
        <t>[Threaded comment]
Your version of Excel allows you to read this threaded comment; however, any edits to it will get removed if the file is opened in a newer version of Excel. Learn more: https://go.microsoft.com/fwlink/?linkid=870924
Comment:
    COG Projects - Smartsheet.com</t>
      </text>
    </comment>
    <comment ref="S10" authorId="11" shapeId="0" xr:uid="{2DFFC0BA-0446-432E-BB46-C31107DB2398}">
      <text>
        <t>[Threaded comment]
Your version of Excel allows you to read this threaded comment; however, any edits to it will get removed if the file is opened in a newer version of Excel. Learn more: https://go.microsoft.com/fwlink/?linkid=870924
Comment:
    (4) COI Projects - Smartsheet.com</t>
      </text>
    </comment>
    <comment ref="S11" authorId="12" shapeId="0" xr:uid="{5C7AF684-772F-4EB0-9F84-2A2041CF9DFA}">
      <text>
        <t>[Threaded comment]
Your version of Excel allows you to read this threaded comment; however, any edits to it will get removed if the file is opened in a newer version of Excel. Learn more: https://go.microsoft.com/fwlink/?linkid=870924
Comment:
    Monrovia Strategy &amp; Projects - Smartsheet.com</t>
      </text>
    </comment>
    <comment ref="S12" authorId="13" shapeId="0" xr:uid="{F29D19A8-8059-4710-AD5E-4F47B80E205A}">
      <text>
        <t>[Threaded comment]
Your version of Excel allows you to read this threaded comment; however, any edits to it will get removed if the file is opened in a newer version of Excel. Learn more: https://go.microsoft.com/fwlink/?linkid=870924
Comment:
    (4) Projects - Smartsheet.com</t>
      </text>
    </comment>
    <comment ref="S13" authorId="14" shapeId="0" xr:uid="{B1772F75-741A-446D-BA8D-B3194A63B0A8}">
      <text>
        <t>[Threaded comment]
Your version of Excel allows you to read this threaded comment; however, any edits to it will get removed if the file is opened in a newer version of Excel. Learn more: https://go.microsoft.com/fwlink/?linkid=870924
Comment:
    CSF Projects - Smartsheet.com</t>
      </text>
    </comment>
    <comment ref="S14" authorId="15" shapeId="0" xr:uid="{67273B8F-65AD-4FDF-9302-665D55561039}">
      <text>
        <t xml:space="preserve">[Threaded comment]
Your version of Excel allows you to read this threaded comment; however, any edits to it will get removed if the file is opened in a newer version of Excel. Learn more: https://go.microsoft.com/fwlink/?linkid=870924
Comment:
    https://app.smartsheet.com/sheets/m7qGHh8rq4qPwpxxr9qgWGHvRv4868vq7vXhxW51?view=grid </t>
      </text>
    </comment>
    <comment ref="S15" authorId="16" shapeId="0" xr:uid="{E0C6A48E-0738-4A7B-8FFD-D17BD20C40F5}">
      <text>
        <t>[Threaded comment]
Your version of Excel allows you to read this threaded comment; however, any edits to it will get removed if the file is opened in a newer version of Excel. Learn more: https://go.microsoft.com/fwlink/?linkid=870924
Comment:
    Strategic initiatives - Smartsheet.com</t>
      </text>
    </comment>
    <comment ref="S17" authorId="17" shapeId="0" xr:uid="{61F459AF-073D-4606-847A-803733DCF2DF}">
      <text>
        <t>[Threaded comment]
Your version of Excel allows you to read this threaded comment; however, any edits to it will get removed if the file is opened in a newer version of Excel. Learn more: https://go.microsoft.com/fwlink/?linkid=870924
Comment:
    Sunnylands Projects - Smartsheet.com</t>
      </text>
    </comment>
    <comment ref="S20" authorId="18" shapeId="0" xr:uid="{B5180C6B-84B1-4909-9764-5198E181C0C4}">
      <text>
        <t>[Threaded comment]
Your version of Excel allows you to read this threaded comment; however, any edits to it will get removed if the file is opened in a newer version of Excel. Learn more: https://go.microsoft.com/fwlink/?linkid=870924
Comment:
    Customer Meeting - DWA Projects - Smartsheet.com</t>
      </text>
    </comment>
    <comment ref="S21" authorId="19" shapeId="0" xr:uid="{E14DD9D9-06B6-4701-8DC1-3F12BB21FCBE}">
      <text>
        <t>[Threaded comment]
Your version of Excel allows you to read this threaded comment; however, any edits to it will get removed if the file is opened in a newer version of Excel. Learn more: https://go.microsoft.com/fwlink/?linkid=870924
Comment:
    (6) ACC Projects - Smartsheet.com</t>
      </text>
    </comment>
    <comment ref="S22" authorId="20" shapeId="0" xr:uid="{620A01EB-4498-4F7A-A4B7-FA5F9EA4E8B0}">
      <text>
        <t>[Threaded comment]
Your version of Excel allows you to read this threaded comment; however, any edits to it will get removed if the file is opened in a newer version of Excel. Learn more: https://go.microsoft.com/fwlink/?linkid=870924
Comment:
    AdHoc Ongoing Projects - Smartsheet.com</t>
      </text>
    </comment>
    <comment ref="S23" authorId="21" shapeId="0" xr:uid="{3D313ECA-A109-4F85-8F35-8014553A5A8F}">
      <text>
        <t xml:space="preserve">[Threaded comment]
Your version of Excel allows you to read this threaded comment; however, any edits to it will get removed if the file is opened in a newer version of Excel. Learn more: https://go.microsoft.com/fwlink/?linkid=870924
Comment:
    https://app.smartsheet.com/sheets/m7qGHh8rq4qPwpxxr9qgWGHvRv4868vq7vXhxW51?view=grid </t>
      </text>
    </comment>
    <comment ref="S24" authorId="22" shapeId="0" xr:uid="{54A1EAEC-F430-4131-B946-5D0F5ADB6AFC}">
      <text>
        <t>[Threaded comment]
Your version of Excel allows you to read this threaded comment; however, any edits to it will get removed if the file is opened in a newer version of Excel. Learn more: https://go.microsoft.com/fwlink/?linkid=870924
Comment:
    (4) Projects - Smartsheet.com</t>
      </text>
    </comment>
    <comment ref="S26" authorId="23" shapeId="0" xr:uid="{4D8DF2AA-6F22-46F9-8716-307583F25B87}">
      <text>
        <t>[Threaded comment]
Your version of Excel allows you to read this threaded comment; however, any edits to it will get removed if the file is opened in a newer version of Excel. Learn more: https://go.microsoft.com/fwlink/?linkid=870924
Comment:
    Projects - Smartsheet.com</t>
      </text>
    </comment>
    <comment ref="S27" authorId="24" shapeId="0" xr:uid="{38459941-3AB6-4DDE-BA87-8E6DEB1D4132}">
      <text>
        <t>[Threaded comment]
Your version of Excel allows you to read this threaded comment; however, any edits to it will get removed if the file is opened in a newer version of Excel. Learn more: https://go.microsoft.com/fwlink/?linkid=870924
Comment:
    CMSD Projects - Smartsheet.com</t>
      </text>
    </comment>
    <comment ref="S28" authorId="25" shapeId="0" xr:uid="{9E6DC657-FC1C-4270-90EB-D79405D9BAEC}">
      <text>
        <t>[Threaded comment]
Your version of Excel allows you to read this threaded comment; however, any edits to it will get removed if the file is opened in a newer version of Excel. Learn more: https://go.microsoft.com/fwlink/?linkid=870924
Comment:
    https://app.smartsheet.com/sheets/Wp93WJ7rjJR9xGr54pGfQ5g6XV3vhWPM943xqc81</t>
      </text>
    </comment>
    <comment ref="S29" authorId="26" shapeId="0" xr:uid="{0C6741E7-8F13-42E3-B423-84B94D5F926D}">
      <text>
        <t>[Threaded comment]
Your version of Excel allows you to read this threaded comment; however, any edits to it will get removed if the file is opened in a newer version of Excel. Learn more: https://go.microsoft.com/fwlink/?linkid=870924
Comment:
    https://app.smartsheet.com/sheets/vcMjP3Q7hcpm8492PMV4XRgMwVx4MW3F27FR8pg1</t>
      </text>
    </comment>
    <comment ref="S30" authorId="27" shapeId="0" xr:uid="{CFE12ED9-7324-4F99-A878-B2BEAD70A214}">
      <text>
        <t>[Threaded comment]
Your version of Excel allows you to read this threaded comment; however, any edits to it will get removed if the file is opened in a newer version of Excel. Learn more: https://go.microsoft.com/fwlink/?linkid=870924
Comment:
    (1) PRE Projects - Smartsheet.com</t>
      </text>
    </comment>
    <comment ref="S31" authorId="28" shapeId="0" xr:uid="{5ED9DEE9-CF05-4A3E-8682-98F8D4A7681A}">
      <text>
        <t xml:space="preserve">[Threaded comment]
Your version of Excel allows you to read this threaded comment; however, any edits to it will get removed if the file is opened in a newer version of Excel. Learn more: https://go.microsoft.com/fwlink/?linkid=870924
Comment:
    https://app.smartsheet.com/sheets/VRP6xWQQGvMg9c87583CJjxMX8pM5g4Xv6HR5h41?view=grid </t>
      </text>
    </comment>
    <comment ref="S33" authorId="29" shapeId="0" xr:uid="{0BBEA984-0AB3-41B2-A5F0-2206CF295E0F}">
      <text>
        <t>[Threaded comment]
Your version of Excel allows you to read this threaded comment; however, any edits to it will get removed if the file is opened in a newer version of Excel. Learn more: https://go.microsoft.com/fwlink/?linkid=870924
Comment:
    SCCCN - Smartsheet - Smartsheet.com</t>
      </text>
    </comment>
    <comment ref="S34" authorId="30" shapeId="0" xr:uid="{745A6A3B-6D86-4E00-AE01-B19E490F692E}">
      <text>
        <t>[Threaded comment]
Your version of Excel allows you to read this threaded comment; however, any edits to it will get removed if the file is opened in a newer version of Excel. Learn more: https://go.microsoft.com/fwlink/?linkid=870924
Comment:
    (1) Client Strategic Initiatives - Smartsheet.com</t>
      </text>
    </comment>
    <comment ref="S35" authorId="31" shapeId="0" xr:uid="{F09C43B2-F942-4B3C-9A21-D131151F5A23}">
      <text>
        <t>[Threaded comment]
Your version of Excel allows you to read this threaded comment; however, any edits to it will get removed if the file is opened in a newer version of Excel. Learn more: https://go.microsoft.com/fwlink/?linkid=870924
Comment:
    Projects - Smartsheet.com</t>
      </text>
    </comment>
    <comment ref="S41" authorId="32" shapeId="0" xr:uid="{2EDF4BF3-7B6C-493B-8DDA-32086500D0D6}">
      <text>
        <t xml:space="preserve">[Threaded comment]
Your version of Excel allows you to read this threaded comment; however, any edits to it will get removed if the file is opened in a newer version of Excel. Learn more: https://go.microsoft.com/fwlink/?linkid=870924
Comment:
    https://app.smartsheet.com/sheets/v5fV4Q5c3PFW7r856rXVfWVfV6PrRWmQpvRQ5441?view=grid </t>
      </text>
    </comment>
    <comment ref="S50" authorId="33" shapeId="0" xr:uid="{F75AB859-68E4-4B62-A53C-59F10D1BDD32}">
      <text>
        <t>[Threaded comment]
Your version of Excel allows you to read this threaded comment; however, any edits to it will get removed if the file is opened in a newer version of Excel. Learn more: https://go.microsoft.com/fwlink/?linkid=870924
Comment:
    LJC - Smartsheet.com</t>
      </text>
    </comment>
    <comment ref="S52" authorId="34" shapeId="0" xr:uid="{35144CB5-7CAD-437F-AC55-FAD70FE2917B}">
      <text>
        <t>[Threaded comment]
Your version of Excel allows you to read this threaded comment; however, any edits to it will get removed if the file is opened in a newer version of Excel. Learn more: https://go.microsoft.com/fwlink/?linkid=870924
Comment:
    Smartsheet</t>
      </text>
    </comment>
    <comment ref="S56" authorId="35" shapeId="0" xr:uid="{D734E6BB-A721-407F-B5B0-1E1FB4350E97}">
      <text>
        <t xml:space="preserve">[Threaded comment]
Your version of Excel allows you to read this threaded comment; however, any edits to it will get removed if the file is opened in a newer version of Excel. Learn more: https://go.microsoft.com/fwlink/?linkid=870924
Comment:
    https://app.smartsheet.com/sheets/m4w7C8WWjHcWfj3Rfpx5XRpmhMCJ86g97WGPVGV1?view=grid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Julia Haywood</author>
    <author>tc={0B37E188-EAFD-43B0-BA05-FA51D02CFFD3}</author>
    <author>tc={F6663052-0926-45D0-9B9E-CC2AEBF28CF5}</author>
  </authors>
  <commentList>
    <comment ref="G6" authorId="0" shapeId="0" xr:uid="{8D5BB6B9-C8AE-483C-9800-9D179BF104EF}">
      <text>
        <r>
          <rPr>
            <sz val="12"/>
            <color theme="1"/>
            <rFont val="Aptos Narrow"/>
            <family val="2"/>
            <scheme val="minor"/>
          </rPr>
          <t>Julia Haywood:
Need help, past due account, told we dont do their budget</t>
        </r>
      </text>
    </comment>
    <comment ref="D11" authorId="1" shapeId="0" xr:uid="{0B37E188-EAFD-43B0-BA05-FA51D02CFFD3}">
      <text>
        <t>[Threaded comment]
Your version of Excel allows you to read this threaded comment; however, any edits to it will get removed if the file is opened in a newer version of Excel. Learn more: https://go.microsoft.com/fwlink/?linkid=870924
Comment:
    1 yr left to extend the contract. Craig has made progress/confidence in the renewal after extension.</t>
      </text>
    </comment>
    <comment ref="H35" authorId="2" shapeId="0" xr:uid="{F6663052-0926-45D0-9B9E-CC2AEBF28CF5}">
      <text>
        <t>[Threaded comment]
Your version of Excel allows you to read this threaded comment; however, any edits to it will get removed if the file is opened in a newer version of Excel. Learn more: https://go.microsoft.com/fwlink/?linkid=870924
Comment:
    Customer wants 2 options rolling over to monthly and extending: Option 1: Month-to-Month Renewal
Your agreement will automatically convert to a month-to-month term unless a new contract is signed. During this period, we can continue providing the same level of service. Please also note that the monthly recurring charge (MRC) will be adjusted to reflect current market rates. (no discount, new contract at $6,100
Option 2: New Term Agreement
Lock in pricing at current market rates and secure additional benefits or a possible discount by signing a new  36-month agreement. This option offers:
Preferred pricing compared to month-to-month rates
Continued alignment with your IT roadmap and budget planning
Priority access to new service enhancements (discount should be proposed of $380 monthly) 3 yr contract at $5,720</t>
      </text>
    </comment>
    <comment ref="I37" authorId="0" shapeId="0" xr:uid="{ACDFE82A-9B5D-41FB-952E-76305DB67CFB}">
      <text>
        <r>
          <rPr>
            <sz val="12"/>
            <color theme="1"/>
            <rFont val="Aptos Narrow"/>
            <family val="2"/>
            <scheme val="minor"/>
          </rPr>
          <t xml:space="preserve">Julia Haywood:
per the contract it will increase to $7150 in the 3rd year </t>
        </r>
      </text>
    </comment>
  </commentList>
</comments>
</file>

<file path=xl/sharedStrings.xml><?xml version="1.0" encoding="utf-8"?>
<sst xmlns="http://schemas.openxmlformats.org/spreadsheetml/2006/main" count="1055" uniqueCount="271">
  <si>
    <t>Customer Code</t>
  </si>
  <si>
    <t>Customer Name</t>
  </si>
  <si>
    <t>Contract Expiration</t>
  </si>
  <si>
    <t>MRR</t>
  </si>
  <si>
    <t>Tier</t>
  </si>
  <si>
    <t>Account Manager</t>
  </si>
  <si>
    <t>Seats</t>
  </si>
  <si>
    <t>Contract Type</t>
  </si>
  <si>
    <t>Fiscal Year</t>
  </si>
  <si>
    <t>QBR vCIO Generated</t>
  </si>
  <si>
    <t>Signed off by C/U</t>
  </si>
  <si>
    <t>Last BR</t>
  </si>
  <si>
    <t>Next BR</t>
  </si>
  <si>
    <t>Q1 QBR Closure TARGET</t>
  </si>
  <si>
    <t>CyberSuite?</t>
  </si>
  <si>
    <t>Firewall Equipment</t>
  </si>
  <si>
    <t>Backup (Immutable)</t>
  </si>
  <si>
    <t xml:space="preserve">Pre/Check-in meetings? </t>
  </si>
  <si>
    <t>Smartsheet</t>
  </si>
  <si>
    <t>Bio/Glue/POC/IAM//New User/SteerCo update</t>
  </si>
  <si>
    <t>Contract Summary/Customer Profile</t>
  </si>
  <si>
    <t>Face time/Gift check-in</t>
  </si>
  <si>
    <t>NIST q&amp;a + Craig/Umar review</t>
  </si>
  <si>
    <t>Q2 Target in GRAY</t>
  </si>
  <si>
    <t>What product/level?</t>
  </si>
  <si>
    <t>https://app.smartsheet.com/sheets/gFq4F7642hg76mvJxqPHv89f8RwFPXPF47H67Xg1</t>
  </si>
  <si>
    <t>Bi-annual minimum</t>
  </si>
  <si>
    <t>Tier 1</t>
  </si>
  <si>
    <t>Customer presentation/Leave behind?</t>
  </si>
  <si>
    <t>AVL</t>
  </si>
  <si>
    <t>Avalon Transportation</t>
  </si>
  <si>
    <t>Julia Haywood</t>
  </si>
  <si>
    <t>Acorn New</t>
  </si>
  <si>
    <t>Cynet *</t>
  </si>
  <si>
    <t>Meraki</t>
  </si>
  <si>
    <t>Azure/CloudBerry (NC)</t>
  </si>
  <si>
    <t>COJK</t>
  </si>
  <si>
    <t>Christensen, O'Connor, Johnson, Kindness</t>
  </si>
  <si>
    <t>Chelsea Gill</t>
  </si>
  <si>
    <t>Cynet Elite</t>
  </si>
  <si>
    <t>Azure (NC)</t>
  </si>
  <si>
    <t>COV</t>
  </si>
  <si>
    <t>City of Covina</t>
  </si>
  <si>
    <t>Andrew Block</t>
  </si>
  <si>
    <t>City</t>
  </si>
  <si>
    <t>July- June</t>
  </si>
  <si>
    <t>CDP</t>
  </si>
  <si>
    <t>City of Dana Point</t>
  </si>
  <si>
    <t>Cynet All-In-One</t>
  </si>
  <si>
    <t>Palo Alto</t>
  </si>
  <si>
    <t>NEEDS NAS URGENTLY Local Backup/O365 (CB)</t>
  </si>
  <si>
    <t>COD</t>
  </si>
  <si>
    <t>City of Duvall</t>
  </si>
  <si>
    <t>COG</t>
  </si>
  <si>
    <t>City of Goleta</t>
  </si>
  <si>
    <t>July-June</t>
  </si>
  <si>
    <t>Ubiquiti</t>
  </si>
  <si>
    <t>Datto Endpoint Backup (CB)</t>
  </si>
  <si>
    <t>COI</t>
  </si>
  <si>
    <t>City of Industry</t>
  </si>
  <si>
    <t>Cisco</t>
  </si>
  <si>
    <t>VEEAM (CB)</t>
  </si>
  <si>
    <t>MON</t>
  </si>
  <si>
    <t>City of Monrovia</t>
  </si>
  <si>
    <t>Meraki/Juniper/Cisco/Sonicwall</t>
  </si>
  <si>
    <t>Local Backup (CB)</t>
  </si>
  <si>
    <t>RPV</t>
  </si>
  <si>
    <t>City of Ranchos Palos Verdes</t>
  </si>
  <si>
    <t>Local Backup/VEEAM (CB)</t>
  </si>
  <si>
    <t>CSF</t>
  </si>
  <si>
    <t>City of San Fernando</t>
  </si>
  <si>
    <t>SAM</t>
  </si>
  <si>
    <t>SmartStop Asset Management</t>
  </si>
  <si>
    <t>Jan-Dec</t>
  </si>
  <si>
    <t>Cisco/Sonicwall</t>
  </si>
  <si>
    <t>SSPM</t>
  </si>
  <si>
    <t>SmartStop Property Management</t>
  </si>
  <si>
    <t>SSR</t>
  </si>
  <si>
    <t>SmartStop REIT</t>
  </si>
  <si>
    <t>SUNNY</t>
  </si>
  <si>
    <t>Sunnylands</t>
  </si>
  <si>
    <t>Tier 2</t>
  </si>
  <si>
    <t>DWA</t>
  </si>
  <si>
    <t>Desert Water Agency</t>
  </si>
  <si>
    <t>Acorn Old</t>
  </si>
  <si>
    <t>Fortinet/Sonicwall</t>
  </si>
  <si>
    <t>ACC</t>
  </si>
  <si>
    <t>Adams Campbell Construction</t>
  </si>
  <si>
    <t>AL</t>
  </si>
  <si>
    <t>Adhoc Labs</t>
  </si>
  <si>
    <t>BAG</t>
  </si>
  <si>
    <t>Baghouse</t>
  </si>
  <si>
    <t>Sonicwall</t>
  </si>
  <si>
    <t>NEEDS NAS URGNETLY Local Backup/VEEAM (CB)</t>
  </si>
  <si>
    <t>BGCRED</t>
  </si>
  <si>
    <t>Boys and Girls Club of Redlands</t>
  </si>
  <si>
    <t>Sonicwall/Meraki</t>
  </si>
  <si>
    <t>NEEDS NAS URGENTLY</t>
  </si>
  <si>
    <t>CASH</t>
  </si>
  <si>
    <t>Cashback</t>
  </si>
  <si>
    <t>Month To Month</t>
  </si>
  <si>
    <t>Shaun Alfonso</t>
  </si>
  <si>
    <t>No Contract</t>
  </si>
  <si>
    <t>CBMWD</t>
  </si>
  <si>
    <t>Central Basin Municipal Water District</t>
  </si>
  <si>
    <t>Public Agency</t>
  </si>
  <si>
    <t>CMSD</t>
  </si>
  <si>
    <t>HESP</t>
  </si>
  <si>
    <t>Hesperia Recreation and Park District</t>
  </si>
  <si>
    <t>NEEDS NAS URGENTLY Local Backup/VEEAM (CB)</t>
  </si>
  <si>
    <t>LEV</t>
  </si>
  <si>
    <t>LeVecke Corporation</t>
  </si>
  <si>
    <t>PRE</t>
  </si>
  <si>
    <t>Pacific Railway Enterprises, Inc.</t>
  </si>
  <si>
    <t>Sonicwall/Ubiquiti</t>
  </si>
  <si>
    <t>RW</t>
  </si>
  <si>
    <t>RecycleWise</t>
  </si>
  <si>
    <t>Tier 3</t>
  </si>
  <si>
    <t>Sophos</t>
  </si>
  <si>
    <t>RUBI</t>
  </si>
  <si>
    <t>Rubidoux Community Services District</t>
  </si>
  <si>
    <t>NEEDS NAS Local Backup (CB)</t>
  </si>
  <si>
    <t>SCCCN</t>
  </si>
  <si>
    <t>Superior Court of California Nevada</t>
  </si>
  <si>
    <t>SOLAR</t>
  </si>
  <si>
    <t>SolarMax</t>
  </si>
  <si>
    <t>TE</t>
  </si>
  <si>
    <t>TruEvolution</t>
  </si>
  <si>
    <t>AAA</t>
  </si>
  <si>
    <t>AAA Paving Co.</t>
  </si>
  <si>
    <t>A1G</t>
  </si>
  <si>
    <t>A1 Grit</t>
  </si>
  <si>
    <t>ALP</t>
  </si>
  <si>
    <t>Alpine Water Users Association</t>
  </si>
  <si>
    <t>BEAU</t>
  </si>
  <si>
    <t>Beaumont Cherry Valley Recreation &amp; Park District</t>
  </si>
  <si>
    <t>CEO</t>
  </si>
  <si>
    <t>CEO Strategic Solutions</t>
  </si>
  <si>
    <t>Month to Month</t>
  </si>
  <si>
    <t>CREC</t>
  </si>
  <si>
    <t>Continental Recycling</t>
  </si>
  <si>
    <t>DEF</t>
  </si>
  <si>
    <t>Discovery Eye Foundation</t>
  </si>
  <si>
    <t>DOB</t>
  </si>
  <si>
    <t>Dobler Law Group</t>
  </si>
  <si>
    <t>EARTH</t>
  </si>
  <si>
    <t>EarthCare</t>
  </si>
  <si>
    <t>GEN</t>
  </si>
  <si>
    <t>Genesis Supreme &amp; PCW</t>
  </si>
  <si>
    <t>IEWBC</t>
  </si>
  <si>
    <t>Indland Empire Women's Business Consortium</t>
  </si>
  <si>
    <t>LSC</t>
  </si>
  <si>
    <t>Ladera Sports Center</t>
  </si>
  <si>
    <t>LJC</t>
  </si>
  <si>
    <t>Larry Jacinto Construction</t>
  </si>
  <si>
    <t>LTR</t>
  </si>
  <si>
    <t>Lift to Rise</t>
  </si>
  <si>
    <t>LLU</t>
  </si>
  <si>
    <t>Loma Linda University</t>
  </si>
  <si>
    <t>July - June</t>
  </si>
  <si>
    <t>Mentone</t>
  </si>
  <si>
    <t>Mentone Beach RV (Part of LJC)</t>
  </si>
  <si>
    <t>OGP</t>
  </si>
  <si>
    <t>Open Gym Partner</t>
  </si>
  <si>
    <t>RCCCC</t>
  </si>
  <si>
    <t>Riverside County Childcare Consortium</t>
  </si>
  <si>
    <t>IBC</t>
  </si>
  <si>
    <t>Industry Business Council</t>
  </si>
  <si>
    <t>Hosting</t>
  </si>
  <si>
    <t>CHAMP</t>
  </si>
  <si>
    <t>Champion Lumber</t>
  </si>
  <si>
    <t>SKY</t>
  </si>
  <si>
    <t>NDAP</t>
  </si>
  <si>
    <t>DPI</t>
  </si>
  <si>
    <t>UCR</t>
  </si>
  <si>
    <t>UIA</t>
  </si>
  <si>
    <t>Wansec</t>
  </si>
  <si>
    <t>Recently Gone</t>
  </si>
  <si>
    <t>COMM (9/1)</t>
  </si>
  <si>
    <t>SPAS (2-1-26)</t>
  </si>
  <si>
    <t>MCT (8/1)</t>
  </si>
  <si>
    <t>SPACE (8/1)</t>
  </si>
  <si>
    <t>LCLLP (11/1)</t>
  </si>
  <si>
    <t>Lester &amp; Cantrell</t>
  </si>
  <si>
    <t>Coming</t>
  </si>
  <si>
    <t>TES</t>
  </si>
  <si>
    <t>(Servers and Azure mgmt only)</t>
  </si>
  <si>
    <t>Former</t>
  </si>
  <si>
    <t>SPAS, SPAS PD</t>
  </si>
  <si>
    <t>City of South Pasadena &amp; Police Department</t>
  </si>
  <si>
    <t>X</t>
  </si>
  <si>
    <t>Project Rate</t>
  </si>
  <si>
    <t>Proposed Rate</t>
  </si>
  <si>
    <t>(Why is this so low??)</t>
  </si>
  <si>
    <t>No change</t>
  </si>
  <si>
    <t>No Change</t>
  </si>
  <si>
    <t>175 on Renewal. No immediate Change</t>
  </si>
  <si>
    <t>No Change (Raised $10 on 7/1/25)</t>
  </si>
  <si>
    <t>Raise if we renew. No immediate change.</t>
  </si>
  <si>
    <t>Costa Mesa Sanitary District</t>
  </si>
  <si>
    <t>LCLLP</t>
  </si>
  <si>
    <t>Mentone Beach RV</t>
  </si>
  <si>
    <t>Renewal within 12 months</t>
  </si>
  <si>
    <t>Needs updated contract</t>
  </si>
  <si>
    <t>Mad to Glad</t>
  </si>
  <si>
    <t>Current IT-Services MRC</t>
  </si>
  <si>
    <t>Proposed IT-Services</t>
  </si>
  <si>
    <t>MRC Difference</t>
  </si>
  <si>
    <t>Alignment report completion date</t>
  </si>
  <si>
    <t>Strategy Review</t>
  </si>
  <si>
    <t>Strategy Road Map</t>
  </si>
  <si>
    <t>Budget Creation</t>
  </si>
  <si>
    <t>Notes</t>
  </si>
  <si>
    <t>Submitted</t>
  </si>
  <si>
    <t>Completed</t>
  </si>
  <si>
    <t xml:space="preserve">Completed </t>
  </si>
  <si>
    <t>MON-PD</t>
  </si>
  <si>
    <t>City of Monrovia Police Dept</t>
  </si>
  <si>
    <t>11/31/25</t>
  </si>
  <si>
    <t>Needs CJIS access to complete alignment and stratergy road map, Chelsea to work with Ryan</t>
  </si>
  <si>
    <t>Budget Reviewed Already</t>
  </si>
  <si>
    <t>Currently doing a complete refresh</t>
  </si>
  <si>
    <t>month to month</t>
  </si>
  <si>
    <t>-</t>
  </si>
  <si>
    <t>Account is not updated on Datto</t>
  </si>
  <si>
    <t>Offboarding Phase</t>
  </si>
  <si>
    <t>Totals:</t>
  </si>
  <si>
    <t>Goal</t>
  </si>
  <si>
    <t>vCIO Alingment Answers.docx</t>
  </si>
  <si>
    <t>QBR Report Builder Configuration</t>
  </si>
  <si>
    <t>Alignment report (after vCIO work done)</t>
  </si>
  <si>
    <t>Strategic Summary</t>
  </si>
  <si>
    <t>Budget report optional</t>
  </si>
  <si>
    <t>Hardware Warranty grouped by age</t>
  </si>
  <si>
    <t>Executive Summary = Performance reports - SLA reports limited to what you want SLA first response and SLA resolution metrics to show successes</t>
  </si>
  <si>
    <t>Adam Farkas: Emphasized first QBRs should focus on gaps and budget alignment for filling those gaps, with future reviews including performance reports</t>
  </si>
  <si>
    <t>Internal use metrics and EDR reports will be excluded from initial presentations</t>
  </si>
  <si>
    <t>ALL ALIGNMENT REVIEWS REQUIRE ZOOM FOR TRANSCRIPT CAPTURE - EVEN WHEN ONSITE</t>
  </si>
  <si>
    <t>After Alignment report review:</t>
  </si>
  <si>
    <t>If urgent or critical items arise - Day after - Group meeting (AM, Ian, Adam, Craig, Umar) review to action all urgent and time sensitive findings</t>
  </si>
  <si>
    <t>Within 2 weeks -</t>
  </si>
  <si>
    <t xml:space="preserve">           Full processing of all items from transcript: Enter decisions into MITP plotted across quarters and years based on customer decision</t>
  </si>
  <si>
    <t xml:space="preserve">            Create Opportunities from within MITP based on these entries</t>
  </si>
  <si>
    <t xml:space="preserve">          Enter all key strategic items AND critical items that were declined or not decided into their Smartsheet - in Red for non-negotiables</t>
  </si>
  <si>
    <t xml:space="preserve">        Option to align with customer internal departments and stakeholder for strategic sharing and listening sessions - May add items to budget</t>
  </si>
  <si>
    <t xml:space="preserve">            Deliver a representative budget of these decisions that cover their next fiscal year</t>
  </si>
  <si>
    <t>Win2008.png</t>
  </si>
  <si>
    <t>Server 2016 VMs.csv</t>
  </si>
  <si>
    <t>Server 2012 VMs.csv</t>
  </si>
  <si>
    <t>Client</t>
  </si>
  <si>
    <t>Support Description (Per Unit Per Month)</t>
  </si>
  <si>
    <t>Unit Pricing</t>
  </si>
  <si>
    <t>Current MRC</t>
  </si>
  <si>
    <t>Current Qty.</t>
  </si>
  <si>
    <t>Applied Discounts</t>
  </si>
  <si>
    <t>Current (TrueUP) MRC</t>
  </si>
  <si>
    <t>Desktop Support</t>
  </si>
  <si>
    <t>Server Support</t>
  </si>
  <si>
    <t>SAN Support</t>
  </si>
  <si>
    <t>NAS Support</t>
  </si>
  <si>
    <t xml:space="preserve">Router/Firewall Support </t>
  </si>
  <si>
    <t>Switch Support</t>
  </si>
  <si>
    <t xml:space="preserve">WAP Support </t>
  </si>
  <si>
    <t>Full Time Employee</t>
  </si>
  <si>
    <t>CyberAdvanced</t>
  </si>
  <si>
    <t xml:space="preserve">Additional Location Support </t>
  </si>
  <si>
    <t>Server Support without backup</t>
  </si>
  <si>
    <t>Server Support with backup</t>
  </si>
  <si>
    <t>Phone Support</t>
  </si>
  <si>
    <t>VPN</t>
  </si>
  <si>
    <t>MDM Support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</si>
</sst>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5" formatCode="&quot;$&quot;#,##0_);\(&quot;$&quot;#,##0\)"/>
    <numFmt numFmtId="6" formatCode="&quot;$&quot;#,##0_);[Red]\(&quot;$&quot;#,##0\)"/>
    <numFmt numFmtId="8" formatCode="&quot;$&quot;#,##0.00_);[Red]\(&quot;$&quot;#,##0.00\)"/>
    <numFmt numFmtId="44" formatCode="_(&quot;$&quot;* #,##0.00_);_(&quot;$&quot;* \(#,##0.00\);_(&quot;$&quot;* &quot;-&quot;??_);_(@_)"/>
    <numFmt numFmtId="164" formatCode="&quot;$&quot;#,##0"/>
    <numFmt numFmtId="165" formatCode="&quot;$&quot;#,##0.0"/>
    <numFmt numFmtId="166" formatCode="&quot;$&quot;#,##0.00"/>
    <numFmt numFmtId="167" formatCode="[$-409]d\-mmm\-yy;@"/>
  </numFmts>
  <fonts count="16">
    <font>
      <sz val="12"/>
      <color theme="1"/>
      <name val="Aptos Narrow"/>
      <family val="2"/>
      <scheme val="minor"/>
    </font>
    <font>
      <sz val="11"/>
      <color theme="1"/>
      <name val="Aptos Narrow"/>
      <family val="2"/>
      <scheme val="minor"/>
    </font>
    <font>
      <b/>
      <sz val="12"/>
      <color theme="1"/>
      <name val="Aptos Narrow"/>
      <scheme val="minor"/>
    </font>
    <font>
      <sz val="12"/>
      <color theme="1"/>
      <name val="Aptos Narrow"/>
      <family val="2"/>
      <scheme val="minor"/>
    </font>
    <font>
      <sz val="12"/>
      <color rgb="FF000000"/>
      <name val="Aptos Narrow"/>
      <family val="2"/>
      <scheme val="minor"/>
    </font>
    <font>
      <strike/>
      <sz val="12"/>
      <color theme="1"/>
      <name val="Aptos Narrow"/>
      <family val="2"/>
      <scheme val="minor"/>
    </font>
    <font>
      <b/>
      <sz val="12"/>
      <color theme="1"/>
      <name val="Aptos Narrow"/>
      <family val="2"/>
      <scheme val="minor"/>
    </font>
    <font>
      <sz val="12"/>
      <color rgb="FFFF0000"/>
      <name val="Aptos Narrow"/>
      <family val="2"/>
      <scheme val="minor"/>
    </font>
    <font>
      <sz val="12"/>
      <name val="Aptos Narrow"/>
      <family val="2"/>
      <scheme val="minor"/>
    </font>
    <font>
      <b/>
      <sz val="12"/>
      <color theme="9" tint="-0.249977111117893"/>
      <name val="Aptos Narrow"/>
      <family val="2"/>
      <scheme val="minor"/>
    </font>
    <font>
      <strike/>
      <sz val="12"/>
      <color rgb="FFFF0000"/>
      <name val="Aptos Narrow"/>
      <family val="2"/>
      <scheme val="minor"/>
    </font>
    <font>
      <strike/>
      <sz val="12"/>
      <color theme="0" tint="-0.34998626667073579"/>
      <name val="Aptos Narrow"/>
      <family val="2"/>
      <scheme val="minor"/>
    </font>
    <font>
      <b/>
      <sz val="13.5"/>
      <color theme="1"/>
      <name val="Aptos Narrow"/>
      <family val="2"/>
      <scheme val="minor"/>
    </font>
    <font>
      <u/>
      <sz val="12"/>
      <color theme="10"/>
      <name val="Aptos Narrow"/>
      <family val="2"/>
      <scheme val="minor"/>
    </font>
    <font>
      <sz val="11"/>
      <color rgb="FF000000"/>
      <name val="Calibri"/>
    </font>
    <font>
      <sz val="11"/>
      <color theme="0"/>
      <name val="Calibri"/>
    </font>
  </fonts>
  <fills count="12">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theme="2" tint="-0.249977111117893"/>
        <bgColor indexed="64"/>
      </patternFill>
    </fill>
    <fill>
      <patternFill patternType="solid">
        <fgColor rgb="FF00B050"/>
        <bgColor indexed="64"/>
      </patternFill>
    </fill>
    <fill>
      <patternFill patternType="solid">
        <fgColor theme="9" tint="0.79998168889431442"/>
        <bgColor indexed="64"/>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style="thin">
        <color rgb="FF000000"/>
      </top>
      <bottom/>
      <diagonal/>
    </border>
    <border>
      <left/>
      <right/>
      <top/>
      <bottom style="thin">
        <color rgb="FF000000"/>
      </bottom>
      <diagonal/>
    </border>
  </borders>
  <cellStyleXfs count="3">
    <xf numFmtId="0" fontId="0" fillId="0" borderId="0"/>
    <xf numFmtId="44" fontId="3" fillId="0" borderId="0" applyFont="0" applyFill="0" applyBorder="0" applyAlignment="0" applyProtection="0"/>
    <xf numFmtId="0" fontId="13" fillId="0" borderId="0" applyNumberFormat="0" applyFill="0" applyBorder="0" applyAlignment="0" applyProtection="0"/>
  </cellStyleXfs>
  <cellXfs count="140">
    <xf numFmtId="0" fontId="0" fillId="0" borderId="0" xfId="0"/>
    <xf numFmtId="14" fontId="0" fillId="0" borderId="0" xfId="0" applyNumberFormat="1"/>
    <xf numFmtId="8" fontId="0" fillId="0" borderId="0" xfId="0" applyNumberFormat="1"/>
    <xf numFmtId="0" fontId="2" fillId="0" borderId="0" xfId="0" applyFont="1"/>
    <xf numFmtId="5" fontId="0" fillId="0" borderId="0" xfId="1" applyNumberFormat="1" applyFont="1"/>
    <xf numFmtId="5" fontId="2" fillId="0" borderId="0" xfId="1" applyNumberFormat="1" applyFont="1"/>
    <xf numFmtId="5" fontId="4" fillId="0" borderId="0" xfId="1" applyNumberFormat="1" applyFont="1"/>
    <xf numFmtId="0" fontId="0" fillId="0" borderId="0" xfId="0" applyAlignment="1">
      <alignment horizontal="right"/>
    </xf>
    <xf numFmtId="5" fontId="4" fillId="0" borderId="0" xfId="1" applyNumberFormat="1" applyFont="1" applyAlignment="1">
      <alignment horizontal="right"/>
    </xf>
    <xf numFmtId="0" fontId="2" fillId="0" borderId="0" xfId="0" applyFont="1" applyAlignment="1">
      <alignment horizontal="right"/>
    </xf>
    <xf numFmtId="14" fontId="0" fillId="2" borderId="0" xfId="0" applyNumberFormat="1" applyFill="1"/>
    <xf numFmtId="0" fontId="0" fillId="2" borderId="0" xfId="0" applyFill="1"/>
    <xf numFmtId="0" fontId="5" fillId="0" borderId="0" xfId="0" applyFont="1"/>
    <xf numFmtId="0" fontId="0" fillId="3" borderId="0" xfId="0" applyFill="1"/>
    <xf numFmtId="0" fontId="6" fillId="0" borderId="0" xfId="0" applyFont="1"/>
    <xf numFmtId="0" fontId="0" fillId="6" borderId="0" xfId="0" applyFill="1"/>
    <xf numFmtId="14" fontId="7" fillId="2" borderId="0" xfId="0" applyNumberFormat="1" applyFont="1" applyFill="1"/>
    <xf numFmtId="8" fontId="7" fillId="0" borderId="0" xfId="0" applyNumberFormat="1" applyFont="1"/>
    <xf numFmtId="14" fontId="8" fillId="0" borderId="0" xfId="0" applyNumberFormat="1" applyFont="1"/>
    <xf numFmtId="164" fontId="0" fillId="0" borderId="0" xfId="0" applyNumberFormat="1"/>
    <xf numFmtId="0" fontId="0" fillId="0" borderId="0" xfId="0" applyAlignment="1">
      <alignment horizontal="center"/>
    </xf>
    <xf numFmtId="0" fontId="6" fillId="0" borderId="0" xfId="0" applyFont="1" applyAlignment="1">
      <alignment horizontal="center" vertical="center" wrapText="1"/>
    </xf>
    <xf numFmtId="0" fontId="0" fillId="0" borderId="0" xfId="0" applyAlignment="1">
      <alignment horizontal="center" vertical="center" wrapText="1"/>
    </xf>
    <xf numFmtId="164" fontId="6" fillId="0" borderId="0" xfId="0" applyNumberFormat="1" applyFont="1"/>
    <xf numFmtId="0" fontId="6" fillId="0" borderId="0" xfId="0" applyFont="1" applyAlignment="1">
      <alignment horizontal="right"/>
    </xf>
    <xf numFmtId="164" fontId="0" fillId="0" borderId="0" xfId="0" applyNumberFormat="1" applyAlignment="1">
      <alignment wrapText="1"/>
    </xf>
    <xf numFmtId="6" fontId="0" fillId="0" borderId="0" xfId="0" applyNumberFormat="1"/>
    <xf numFmtId="0" fontId="7" fillId="0" borderId="0" xfId="0" applyFont="1"/>
    <xf numFmtId="0" fontId="9" fillId="0" borderId="0" xfId="0" applyFont="1"/>
    <xf numFmtId="165" fontId="9" fillId="0" borderId="0" xfId="0" applyNumberFormat="1" applyFont="1"/>
    <xf numFmtId="0" fontId="5" fillId="0" borderId="0" xfId="0" applyFont="1" applyAlignment="1">
      <alignment horizontal="center"/>
    </xf>
    <xf numFmtId="14" fontId="10" fillId="2" borderId="0" xfId="0" applyNumberFormat="1" applyFont="1" applyFill="1"/>
    <xf numFmtId="8" fontId="5" fillId="0" borderId="0" xfId="0" applyNumberFormat="1" applyFont="1"/>
    <xf numFmtId="164" fontId="5" fillId="0" borderId="0" xfId="0" applyNumberFormat="1" applyFont="1"/>
    <xf numFmtId="14" fontId="5" fillId="0" borderId="0" xfId="0" applyNumberFormat="1" applyFont="1"/>
    <xf numFmtId="0" fontId="5" fillId="0" borderId="0" xfId="0" applyFont="1" applyAlignment="1">
      <alignment wrapText="1"/>
    </xf>
    <xf numFmtId="0" fontId="0" fillId="0" borderId="0" xfId="0" applyAlignment="1">
      <alignment horizontal="left" vertical="center"/>
    </xf>
    <xf numFmtId="0" fontId="12" fillId="0" borderId="0" xfId="0" applyFont="1" applyAlignment="1">
      <alignment horizontal="left" vertical="center"/>
    </xf>
    <xf numFmtId="0" fontId="0" fillId="0" borderId="0" xfId="0" applyAlignment="1">
      <alignment horizontal="left" vertical="center" indent="1"/>
    </xf>
    <xf numFmtId="0" fontId="6" fillId="0" borderId="0" xfId="0" applyFont="1" applyAlignment="1">
      <alignment horizontal="left" vertical="center"/>
    </xf>
    <xf numFmtId="0" fontId="0" fillId="0" borderId="0" xfId="0" applyAlignment="1">
      <alignment horizontal="left" vertical="center" indent="2"/>
    </xf>
    <xf numFmtId="0" fontId="2" fillId="0" borderId="0" xfId="0" applyFont="1" applyAlignment="1">
      <alignment horizontal="center"/>
    </xf>
    <xf numFmtId="0" fontId="2" fillId="0" borderId="1" xfId="0" applyFont="1" applyBorder="1"/>
    <xf numFmtId="0" fontId="0" fillId="0" borderId="1" xfId="0" applyBorder="1"/>
    <xf numFmtId="14" fontId="8" fillId="0" borderId="1" xfId="0" applyNumberFormat="1" applyFont="1" applyBorder="1"/>
    <xf numFmtId="8" fontId="0" fillId="0" borderId="1" xfId="0" applyNumberFormat="1" applyBorder="1"/>
    <xf numFmtId="0" fontId="0" fillId="5" borderId="1" xfId="0" applyFill="1" applyBorder="1"/>
    <xf numFmtId="0" fontId="0" fillId="4" borderId="1" xfId="0" applyFill="1" applyBorder="1"/>
    <xf numFmtId="0" fontId="0" fillId="0" borderId="1" xfId="0" applyBorder="1" applyAlignment="1">
      <alignment horizontal="left"/>
    </xf>
    <xf numFmtId="0" fontId="0" fillId="0" borderId="1" xfId="0" applyBorder="1" applyAlignment="1">
      <alignment horizontal="center"/>
      <extLst>
        <ext xmlns:xfpb="http://schemas.microsoft.com/office/spreadsheetml/2022/featurepropertybag" uri="{C7286773-470A-42A8-94C5-96B5CB345126}">
          <xfpb:xfComplement i="0"/>
        </ext>
      </extLst>
    </xf>
    <xf numFmtId="0" fontId="0" fillId="0" borderId="1" xfId="0" applyBorder="1">
      <extLst>
        <ext xmlns:xfpb="http://schemas.microsoft.com/office/spreadsheetml/2022/featurepropertybag" uri="{C7286773-470A-42A8-94C5-96B5CB345126}">
          <xfpb:xfComplement i="0"/>
        </ext>
      </extLst>
    </xf>
    <xf numFmtId="14" fontId="0" fillId="0" borderId="1" xfId="0" applyNumberFormat="1" applyBorder="1"/>
    <xf numFmtId="14" fontId="0" fillId="2" borderId="1" xfId="0" applyNumberFormat="1" applyFill="1" applyBorder="1"/>
    <xf numFmtId="14" fontId="7" fillId="2" borderId="1" xfId="0" applyNumberFormat="1" applyFont="1" applyFill="1" applyBorder="1"/>
    <xf numFmtId="0" fontId="11" fillId="0" borderId="1" xfId="0" applyFont="1" applyBorder="1"/>
    <xf numFmtId="14" fontId="11" fillId="2" borderId="1" xfId="0" applyNumberFormat="1" applyFont="1" applyFill="1" applyBorder="1"/>
    <xf numFmtId="8" fontId="11" fillId="0" borderId="1" xfId="0" applyNumberFormat="1" applyFont="1" applyBorder="1"/>
    <xf numFmtId="0" fontId="11" fillId="4" borderId="1" xfId="0" applyFont="1" applyFill="1" applyBorder="1"/>
    <xf numFmtId="0" fontId="11" fillId="0" borderId="1" xfId="0" applyFont="1" applyBorder="1" applyAlignment="1">
      <alignment horizontal="left"/>
    </xf>
    <xf numFmtId="0" fontId="0" fillId="3" borderId="1" xfId="0" applyFill="1" applyBorder="1"/>
    <xf numFmtId="0" fontId="0" fillId="6" borderId="1" xfId="0" applyFill="1" applyBorder="1"/>
    <xf numFmtId="0" fontId="0" fillId="0" borderId="1" xfId="0" applyBorder="1" applyAlignment="1">
      <alignment vertical="center"/>
    </xf>
    <xf numFmtId="0" fontId="0" fillId="0" borderId="1" xfId="0" applyBorder="1" applyAlignment="1">
      <alignment horizontal="center"/>
    </xf>
    <xf numFmtId="8" fontId="7" fillId="0" borderId="1" xfId="0" applyNumberFormat="1" applyFont="1" applyBorder="1"/>
    <xf numFmtId="0" fontId="0" fillId="2" borderId="1" xfId="0" applyFill="1" applyBorder="1"/>
    <xf numFmtId="0" fontId="5" fillId="0" borderId="1" xfId="0" applyFont="1" applyBorder="1"/>
    <xf numFmtId="0" fontId="5" fillId="0" borderId="1" xfId="0" applyFont="1" applyBorder="1" applyAlignment="1">
      <alignment horizontal="center"/>
    </xf>
    <xf numFmtId="0" fontId="2" fillId="0" borderId="4" xfId="0" applyFont="1" applyBorder="1"/>
    <xf numFmtId="0" fontId="2" fillId="8" borderId="2" xfId="0" applyFont="1" applyFill="1" applyBorder="1"/>
    <xf numFmtId="0" fontId="2" fillId="8" borderId="3" xfId="0" applyFont="1" applyFill="1" applyBorder="1"/>
    <xf numFmtId="0" fontId="6" fillId="8" borderId="3" xfId="0" applyFont="1" applyFill="1" applyBorder="1"/>
    <xf numFmtId="0" fontId="6" fillId="8" borderId="3" xfId="0" applyFont="1" applyFill="1" applyBorder="1" applyAlignment="1">
      <alignment horizontal="center"/>
    </xf>
    <xf numFmtId="0" fontId="2" fillId="8" borderId="4" xfId="0" applyFont="1" applyFill="1" applyBorder="1"/>
    <xf numFmtId="0" fontId="2" fillId="2" borderId="1" xfId="0" applyFont="1" applyFill="1" applyBorder="1"/>
    <xf numFmtId="0" fontId="6" fillId="2" borderId="1" xfId="0" applyFont="1" applyFill="1" applyBorder="1"/>
    <xf numFmtId="0" fontId="13" fillId="0" borderId="0" xfId="2"/>
    <xf numFmtId="0" fontId="15" fillId="10" borderId="1" xfId="0" applyFont="1" applyFill="1" applyBorder="1"/>
    <xf numFmtId="0" fontId="14" fillId="0" borderId="1" xfId="0" applyFont="1" applyBorder="1"/>
    <xf numFmtId="8" fontId="14" fillId="0" borderId="1" xfId="0" applyNumberFormat="1" applyFont="1" applyBorder="1"/>
    <xf numFmtId="0" fontId="14" fillId="0" borderId="4" xfId="0" applyFont="1" applyBorder="1" applyAlignment="1">
      <alignment horizontal="center"/>
    </xf>
    <xf numFmtId="166" fontId="15" fillId="10" borderId="1" xfId="0" applyNumberFormat="1" applyFont="1" applyFill="1" applyBorder="1"/>
    <xf numFmtId="166" fontId="14" fillId="0" borderId="1" xfId="0" applyNumberFormat="1" applyFont="1" applyBorder="1"/>
    <xf numFmtId="166" fontId="0" fillId="0" borderId="0" xfId="0" applyNumberFormat="1"/>
    <xf numFmtId="166" fontId="14" fillId="0" borderId="6" xfId="0" applyNumberFormat="1" applyFont="1" applyBorder="1"/>
    <xf numFmtId="166" fontId="15" fillId="10" borderId="8" xfId="0" applyNumberFormat="1" applyFont="1" applyFill="1" applyBorder="1"/>
    <xf numFmtId="0" fontId="14" fillId="0" borderId="4" xfId="0" applyFont="1" applyBorder="1"/>
    <xf numFmtId="0" fontId="14" fillId="0" borderId="8" xfId="0" applyFont="1" applyBorder="1"/>
    <xf numFmtId="16" fontId="0" fillId="0" borderId="1" xfId="0" applyNumberFormat="1" applyBorder="1"/>
    <xf numFmtId="167" fontId="2" fillId="8" borderId="3" xfId="0" applyNumberFormat="1" applyFont="1" applyFill="1" applyBorder="1"/>
    <xf numFmtId="167" fontId="2" fillId="0" borderId="0" xfId="0" applyNumberFormat="1" applyFont="1"/>
    <xf numFmtId="167" fontId="0" fillId="0" borderId="1" xfId="0" applyNumberFormat="1" applyBorder="1"/>
    <xf numFmtId="167" fontId="11" fillId="0" borderId="1" xfId="0" applyNumberFormat="1" applyFont="1" applyBorder="1"/>
    <xf numFmtId="167" fontId="5" fillId="0" borderId="1" xfId="0" applyNumberFormat="1" applyFont="1" applyBorder="1"/>
    <xf numFmtId="167" fontId="0" fillId="0" borderId="0" xfId="0" applyNumberFormat="1"/>
    <xf numFmtId="0" fontId="0" fillId="4" borderId="2" xfId="0" applyFill="1" applyBorder="1"/>
    <xf numFmtId="164" fontId="0" fillId="10" borderId="0" xfId="0" applyNumberFormat="1" applyFill="1"/>
    <xf numFmtId="167" fontId="0" fillId="2" borderId="1" xfId="0" applyNumberFormat="1" applyFill="1" applyBorder="1"/>
    <xf numFmtId="166" fontId="14" fillId="0" borderId="2" xfId="0" applyNumberFormat="1" applyFont="1" applyBorder="1"/>
    <xf numFmtId="0" fontId="0" fillId="11" borderId="1" xfId="0" applyFill="1" applyBorder="1"/>
    <xf numFmtId="167" fontId="0" fillId="2" borderId="1" xfId="0" applyNumberFormat="1" applyFill="1" applyBorder="1" applyAlignment="1">
      <alignment horizontal="center"/>
    </xf>
    <xf numFmtId="167" fontId="2" fillId="7" borderId="0" xfId="0" applyNumberFormat="1" applyFont="1" applyFill="1"/>
    <xf numFmtId="167" fontId="0" fillId="7" borderId="1" xfId="0" applyNumberFormat="1" applyFill="1" applyBorder="1"/>
    <xf numFmtId="0" fontId="0" fillId="2" borderId="0" xfId="0" applyFill="1" applyAlignment="1">
      <alignment horizontal="left" vertical="center" indent="2"/>
    </xf>
    <xf numFmtId="0" fontId="6" fillId="3" borderId="1" xfId="0" applyFont="1" applyFill="1" applyBorder="1"/>
    <xf numFmtId="6" fontId="14" fillId="0" borderId="1" xfId="0" applyNumberFormat="1" applyFont="1" applyBorder="1"/>
    <xf numFmtId="167" fontId="0" fillId="0" borderId="4" xfId="0" applyNumberFormat="1" applyBorder="1"/>
    <xf numFmtId="8" fontId="1" fillId="0" borderId="1" xfId="0" applyNumberFormat="1" applyFont="1" applyBorder="1"/>
    <xf numFmtId="167" fontId="6" fillId="0" borderId="2" xfId="0" applyNumberFormat="1" applyFont="1" applyBorder="1" applyAlignment="1">
      <alignment horizontal="center"/>
    </xf>
    <xf numFmtId="167" fontId="6" fillId="0" borderId="3" xfId="0" applyNumberFormat="1" applyFont="1" applyBorder="1" applyAlignment="1">
      <alignment horizontal="center"/>
    </xf>
    <xf numFmtId="167" fontId="6" fillId="0" borderId="10" xfId="0" applyNumberFormat="1" applyFont="1" applyBorder="1" applyAlignment="1">
      <alignment horizontal="center"/>
    </xf>
    <xf numFmtId="167" fontId="6" fillId="0" borderId="4" xfId="0" applyNumberFormat="1" applyFont="1" applyBorder="1" applyAlignment="1">
      <alignment horizontal="center"/>
    </xf>
    <xf numFmtId="0" fontId="6" fillId="0" borderId="2" xfId="0" applyFont="1" applyBorder="1" applyAlignment="1">
      <alignment horizontal="center"/>
    </xf>
    <xf numFmtId="0" fontId="6" fillId="0" borderId="3" xfId="0" applyFont="1" applyBorder="1" applyAlignment="1">
      <alignment horizontal="center"/>
    </xf>
    <xf numFmtId="0" fontId="6" fillId="0" borderId="4"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167" fontId="0" fillId="0" borderId="3" xfId="0" applyNumberFormat="1" applyBorder="1" applyAlignment="1">
      <alignment horizontal="center"/>
    </xf>
    <xf numFmtId="0" fontId="0" fillId="0" borderId="4" xfId="0" applyBorder="1" applyAlignment="1">
      <alignment horizontal="center"/>
    </xf>
    <xf numFmtId="0" fontId="0" fillId="9" borderId="2" xfId="0" applyFill="1" applyBorder="1" applyAlignment="1">
      <alignment horizontal="center"/>
    </xf>
    <xf numFmtId="0" fontId="0" fillId="9" borderId="3" xfId="0" applyFill="1" applyBorder="1" applyAlignment="1">
      <alignment horizontal="center"/>
    </xf>
    <xf numFmtId="167" fontId="0" fillId="9" borderId="3" xfId="0" applyNumberFormat="1" applyFill="1" applyBorder="1" applyAlignment="1">
      <alignment horizontal="center"/>
    </xf>
    <xf numFmtId="0" fontId="0" fillId="9" borderId="4" xfId="0" applyFill="1" applyBorder="1" applyAlignment="1">
      <alignment horizontal="center"/>
    </xf>
    <xf numFmtId="0" fontId="0" fillId="0" borderId="1" xfId="0" applyBorder="1" applyAlignment="1">
      <alignment horizontal="left" vertical="center"/>
    </xf>
    <xf numFmtId="0" fontId="0" fillId="7" borderId="2" xfId="0" applyFill="1" applyBorder="1" applyAlignment="1">
      <alignment horizontal="center"/>
    </xf>
    <xf numFmtId="0" fontId="0" fillId="7" borderId="3" xfId="0" applyFill="1" applyBorder="1" applyAlignment="1">
      <alignment horizontal="center"/>
    </xf>
    <xf numFmtId="167" fontId="0" fillId="7" borderId="3" xfId="0" applyNumberFormat="1" applyFill="1" applyBorder="1" applyAlignment="1">
      <alignment horizontal="center"/>
    </xf>
    <xf numFmtId="0" fontId="0" fillId="7" borderId="4" xfId="0" applyFill="1" applyBorder="1" applyAlignment="1">
      <alignment horizontal="center"/>
    </xf>
    <xf numFmtId="0" fontId="6" fillId="7" borderId="2" xfId="0" applyFont="1" applyFill="1" applyBorder="1" applyAlignment="1">
      <alignment horizontal="center"/>
    </xf>
    <xf numFmtId="0" fontId="6" fillId="7" borderId="3" xfId="0" applyFont="1" applyFill="1" applyBorder="1" applyAlignment="1">
      <alignment horizontal="center"/>
    </xf>
    <xf numFmtId="0" fontId="6" fillId="7" borderId="11" xfId="0" applyFont="1" applyFill="1" applyBorder="1" applyAlignment="1">
      <alignment horizontal="center"/>
    </xf>
    <xf numFmtId="167" fontId="6" fillId="7" borderId="3" xfId="0" applyNumberFormat="1" applyFont="1" applyFill="1" applyBorder="1" applyAlignment="1">
      <alignment horizontal="center"/>
    </xf>
    <xf numFmtId="0" fontId="6" fillId="7" borderId="4" xfId="0" applyFont="1" applyFill="1" applyBorder="1" applyAlignment="1">
      <alignment horizontal="center"/>
    </xf>
    <xf numFmtId="0" fontId="0" fillId="0" borderId="8" xfId="0" applyBorder="1" applyAlignment="1">
      <alignment horizontal="center"/>
      <extLst>
        <ext xmlns:xfpb="http://schemas.microsoft.com/office/spreadsheetml/2022/featurepropertybag" uri="{C7286773-470A-42A8-94C5-96B5CB345126}">
          <xfpb:xfComplement i="0"/>
        </ext>
      </extLst>
    </xf>
    <xf numFmtId="0" fontId="0" fillId="0" borderId="6" xfId="0" applyBorder="1" applyAlignment="1">
      <alignment horizontal="center"/>
      <extLst>
        <ext xmlns:xfpb="http://schemas.microsoft.com/office/spreadsheetml/2022/featurepropertybag" uri="{C7286773-470A-42A8-94C5-96B5CB345126}">
          <xfpb:xfComplement i="0"/>
        </ext>
      </extLst>
    </xf>
    <xf numFmtId="0" fontId="14" fillId="0" borderId="2" xfId="0" applyFont="1" applyBorder="1" applyAlignment="1">
      <alignment horizontal="center"/>
    </xf>
    <xf numFmtId="0" fontId="14" fillId="0" borderId="3" xfId="0" applyFont="1" applyBorder="1" applyAlignment="1">
      <alignment horizontal="center"/>
    </xf>
    <xf numFmtId="0" fontId="14" fillId="0" borderId="4" xfId="0" applyFont="1" applyBorder="1" applyAlignment="1">
      <alignment horizontal="center"/>
    </xf>
    <xf numFmtId="0" fontId="14" fillId="0" borderId="9" xfId="0" applyFont="1" applyBorder="1" applyAlignment="1">
      <alignment horizontal="center"/>
    </xf>
    <xf numFmtId="0" fontId="14" fillId="0" borderId="5" xfId="0" applyFont="1" applyBorder="1" applyAlignment="1">
      <alignment horizontal="center"/>
    </xf>
    <xf numFmtId="0" fontId="14" fillId="0" borderId="7" xfId="0" applyFont="1" applyBorder="1" applyAlignment="1">
      <alignment horizontal="center"/>
    </xf>
  </cellXfs>
  <cellStyles count="3">
    <cellStyle name="Currency" xfId="1" builtinId="4"/>
    <cellStyle name="Hyperlink" xfId="2" builtinId="8"/>
    <cellStyle name="Normal" xfId="0" builtinId="0"/>
  </cellStyles>
  <dxfs count="17">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theme="1"/>
      </font>
      <fill>
        <patternFill patternType="solid">
          <bgColor rgb="FF92D050"/>
        </patternFill>
      </fill>
    </dxf>
    <dxf>
      <font>
        <color rgb="FF9C5700"/>
      </font>
      <fill>
        <patternFill>
          <bgColor rgb="FFFFEB9C"/>
        </patternFill>
      </fill>
    </dxf>
    <dxf>
      <font>
        <color theme="1"/>
      </font>
      <fill>
        <patternFill patternType="solid">
          <bgColor rgb="FF92D050"/>
        </patternFill>
      </fill>
    </dxf>
    <dxf>
      <font>
        <color rgb="FF9C5700"/>
      </font>
      <fill>
        <patternFill>
          <bgColor rgb="FFFFEB9C"/>
        </patternFill>
      </fill>
    </dxf>
    <dxf>
      <font>
        <color theme="1"/>
      </font>
      <fill>
        <patternFill patternType="solid">
          <bgColor rgb="FF92D050"/>
        </patternFill>
      </fill>
    </dxf>
    <dxf>
      <font>
        <color rgb="FF9C5700"/>
      </font>
      <fill>
        <patternFill>
          <bgColor rgb="FFFFEB9C"/>
        </patternFill>
      </fill>
    </dxf>
    <dxf>
      <font>
        <color theme="1"/>
      </font>
      <fill>
        <patternFill patternType="solid">
          <bgColor rgb="FF92D050"/>
        </patternFill>
      </fill>
    </dxf>
    <dxf>
      <font>
        <color rgb="FF9C5700"/>
      </font>
      <fill>
        <patternFill>
          <bgColor rgb="FFFFEB9C"/>
        </patternFill>
      </fill>
    </dxf>
    <dxf>
      <font>
        <color theme="1"/>
      </font>
      <fill>
        <patternFill patternType="solid">
          <bgColor rgb="FF92D050"/>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customXml" Target="../customXml/item3.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14</xdr:col>
      <xdr:colOff>0</xdr:colOff>
      <xdr:row>10</xdr:row>
      <xdr:rowOff>0</xdr:rowOff>
    </xdr:from>
    <xdr:to>
      <xdr:col>29</xdr:col>
      <xdr:colOff>190500</xdr:colOff>
      <xdr:row>30</xdr:row>
      <xdr:rowOff>63500</xdr:rowOff>
    </xdr:to>
    <xdr:pic>
      <xdr:nvPicPr>
        <xdr:cNvPr id="2" name="Picture 1">
          <a:extLst>
            <a:ext uri="{FF2B5EF4-FFF2-40B4-BE49-F238E27FC236}">
              <a16:creationId xmlns:a16="http://schemas.microsoft.com/office/drawing/2014/main" id="{07647978-22DA-D739-B16E-756ED3F878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846800" y="2203450"/>
          <a:ext cx="10534650" cy="4159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Andrew Block" id="{EF6B5047-06F2-41C5-85B7-C208D924C440}" userId="S::ablock@acorntechservices.com::77b1c44a-e91f-414c-8811-b74e7ac32105" providerId="AD"/>
  <person displayName="Adam Farkas" id="{D55BA4E8-1ACE-47A0-96AA-B12C394834F0}" userId="S::afarkas@acorntechservices.com::7697cb4c-50b9-4101-9559-b6ab745d66fd" providerId="AD"/>
  <person displayName="Ian Uychiat" id="{F726CC99-03C6-490E-8867-7EA0539CBA79}" userId="S::iuychiat@acorntechservices.com::1cee5cb5-bf82-4f03-993e-4705075721c2" providerId="AD"/>
  <person displayName="Julia Haywood" id="{B539C390-DD69-4857-B32B-E39F5205D50A}" userId="S::jhaywood@acorntechservices.com::4d910216-962e-41cf-9535-5f1af809ccc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 dT="2026-02-03T19:18:21.99" personId="{F726CC99-03C6-490E-8867-7EA0539CBA79}" id="{7DB1404D-0A23-404F-A554-A6815A4604B0}">
    <text>NC - Not Continuous
CB - Continuous Backup</text>
  </threadedComment>
  <threadedComment ref="T1" dT="2026-02-06T20:15:29.79" personId="{D55BA4E8-1ACE-47A0-96AA-B12C394834F0}" id="{7D4335C7-8C8D-4940-90C3-235F303FEB56}">
    <text>APPLICATION Inventory/support contract and is it currently Supported? Support term? Who owns the contract? What type/limits of coverage/licensing? Who are SME’s both Acorn and Customer? Glue updated with contact info and documentation like install guide? (This whole effort needs a form/guide for consistency).
ADD inventory result to Smartsheets showing what we do and don’t support.</text>
  </threadedComment>
  <threadedComment ref="K2" dT="2026-01-23T22:12:28.56" personId="{D55BA4E8-1ACE-47A0-96AA-B12C394834F0}" id="{3999B502-1F23-4155-AF45-DF5E3C8D6D08}">
    <text>Adam Farkas:
Needs offline inventory updates and cleaned up report. ALSO needs to assess MRC true-up readiness and evidence. AND review with Craig prior to actual call</text>
  </threadedComment>
  <threadedComment ref="K2" dT="2026-02-06T18:45:33.55" personId="{F726CC99-03C6-490E-8867-7EA0539CBA79}" id="{30FDCA20-11F3-4421-9C0A-F60EA248A3D0}" parentId="{3999B502-1F23-4155-AF45-DF5E3C8D6D08}">
    <text>RED Highlight = Needs to complete QBR Reports</text>
  </threadedComment>
  <threadedComment ref="S2" dT="2026-02-06T19:30:13.75" personId="{D55BA4E8-1ACE-47A0-96AA-B12C394834F0}" id="{B2980886-2CDE-4F83-AD67-041920395784}">
    <text>This is the Smartsheet standard needed for all Smartsheets</text>
  </threadedComment>
  <threadedComment ref="S4" dT="2026-02-06T19:41:20.52" personId="{F726CC99-03C6-490E-8867-7EA0539CBA79}" id="{F2F36E20-FC10-4BF1-9453-E0A5FD08E1DD}">
    <text>Avalon Projects - Smartsheet.com</text>
    <extLst>
      <x:ext xmlns:xltc2="http://schemas.microsoft.com/office/spreadsheetml/2020/threadedcomments2" uri="{F7C98A9C-CBB3-438F-8F68-D28B6AF4A901}">
        <xltc2:checksum>3435663544</xltc2:checksum>
        <xltc2:hyperlink startIndex="0" length="32" url="https://app.smartsheet.com/sheets/FgQPXjG9HQg2M4vfH2jpcgvmjMC22HQV29VQwh31?view=grid"/>
      </x:ext>
    </extLst>
  </threadedComment>
  <threadedComment ref="S5" dT="2026-02-06T19:42:12.25" personId="{F726CC99-03C6-490E-8867-7EA0539CBA79}" id="{4F592E1B-DA0E-4C5E-B66D-E31BC49264E3}">
    <text>COJK Projects - Smartsheet.com</text>
    <extLst>
      <x:ext xmlns:xltc2="http://schemas.microsoft.com/office/spreadsheetml/2020/threadedcomments2" uri="{F7C98A9C-CBB3-438F-8F68-D28B6AF4A901}">
        <xltc2:checksum>2955109344</xltc2:checksum>
        <xltc2:hyperlink startIndex="0" length="30" url="https://app.smartsheet.com/sheets/742CXRmjRXrjPHpJqG338GvqCcf4GgGFVcxx8cG1?view=grid"/>
      </x:ext>
    </extLst>
  </threadedComment>
  <threadedComment ref="S6" dT="2026-02-09T22:32:34.62" personId="{F726CC99-03C6-490E-8867-7EA0539CBA79}" id="{48B812CA-C179-4915-BD42-17F0E92671FD}">
    <text>(7) COV - Projects - Smartsheet.com</text>
    <extLst>
      <x:ext xmlns:xltc2="http://schemas.microsoft.com/office/spreadsheetml/2020/threadedcomments2" uri="{F7C98A9C-CBB3-438F-8F68-D28B6AF4A901}">
        <xltc2:checksum>2861664510</xltc2:checksum>
        <xltc2:hyperlink startIndex="0" length="35" url="https://app.smartsheet.com/sheets/7jJfr4GR3GrVg4CqCg77Gc8xJh75mFgJPpM3Xcx1?view=grid"/>
      </x:ext>
    </extLst>
  </threadedComment>
  <threadedComment ref="S7" dT="2026-02-06T19:45:07.24" personId="{F726CC99-03C6-490E-8867-7EA0539CBA79}" id="{D1ABC9B0-6507-4522-9776-01C5C88789F7}">
    <text>CDP Projects - Smartsheet.com</text>
    <extLst>
      <x:ext xmlns:xltc2="http://schemas.microsoft.com/office/spreadsheetml/2020/threadedcomments2" uri="{F7C98A9C-CBB3-438F-8F68-D28B6AF4A901}">
        <xltc2:checksum>3687585216</xltc2:checksum>
        <xltc2:hyperlink startIndex="0" length="29" url="https://app.smartsheet.com/sheets/x8JVWqxGvVghCfrwFWqFqFVRjFRj9grm7P6vRwx1?view=grid"/>
      </x:ext>
    </extLst>
  </threadedComment>
  <threadedComment ref="C8" dT="2025-11-14T19:20:48.57" personId="{D55BA4E8-1ACE-47A0-96AA-B12C394834F0}" id="{182DB964-8AC7-47A7-BE7B-E9A3DD7BDF77}">
    <text>1 yr left to extend the contract. Craig has made progress/confidence in the renewal after extension.</text>
  </threadedComment>
  <threadedComment ref="S8" dT="2026-02-10T00:25:01.03" personId="{F726CC99-03C6-490E-8867-7EA0539CBA79}" id="{ECC1C768-4F2F-49E4-BA69-23F29ABAF1E3}">
    <text>https://app.smartsheet.com/sheets/PVWcWHqM7jMpWgXvJWg7V6rcqgGp8pQHXQPPGXJ1?view=grid</text>
    <extLst>
      <x:ext xmlns:xltc2="http://schemas.microsoft.com/office/spreadsheetml/2020/threadedcomments2" uri="{F7C98A9C-CBB3-438F-8F68-D28B6AF4A901}">
        <xltc2:checksum>664643329</xltc2:checksum>
        <xltc2:hyperlink startIndex="0" length="84" url="https://app.smartsheet.com/sheets/PVWcWHqM7jMpWgXvJWg7V6rcqgGp8pQHXQPPGXJ1?view=grid"/>
      </x:ext>
    </extLst>
  </threadedComment>
  <threadedComment ref="S9" dT="2026-02-06T19:46:36.24" personId="{F726CC99-03C6-490E-8867-7EA0539CBA79}" id="{4C3D4204-9BC2-4F1B-9941-2E6A8F108AB2}">
    <text>COG Projects - Smartsheet.com</text>
    <extLst>
      <x:ext xmlns:xltc2="http://schemas.microsoft.com/office/spreadsheetml/2020/threadedcomments2" uri="{F7C98A9C-CBB3-438F-8F68-D28B6AF4A901}">
        <xltc2:checksum>2992341295</xltc2:checksum>
        <xltc2:hyperlink startIndex="0" length="29" url="https://app.smartsheet.com/sheets/CM5P2VxFQ5hqPr3R22cgFCc3wC793Cpjgx3QjVg1?view=grid"/>
      </x:ext>
    </extLst>
  </threadedComment>
  <threadedComment ref="S10" dT="2026-02-10T00:24:40.15" personId="{F726CC99-03C6-490E-8867-7EA0539CBA79}" id="{2DFFC0BA-0446-432E-BB46-C31107DB2398}">
    <text>(4) COI Projects - Smartsheet.com</text>
    <extLst>
      <x:ext xmlns:xltc2="http://schemas.microsoft.com/office/spreadsheetml/2020/threadedcomments2" uri="{F7C98A9C-CBB3-438F-8F68-D28B6AF4A901}">
        <xltc2:checksum>2964245775</xltc2:checksum>
        <xltc2:hyperlink startIndex="0" length="33" url="https://app.smartsheet.com/sheets/WrPjV776cqwRqC9G4Cjv6jjW43Vg8jf8xcM47Qq1?view=grid"/>
      </x:ext>
    </extLst>
  </threadedComment>
  <threadedComment ref="S11" dT="2026-02-06T19:47:10.30" personId="{F726CC99-03C6-490E-8867-7EA0539CBA79}" id="{5C7AF684-772F-4EB0-9F84-2A2041CF9DFA}">
    <text>Monrovia Strategy &amp; Projects - Smartsheet.com</text>
    <extLst>
      <x:ext xmlns:xltc2="http://schemas.microsoft.com/office/spreadsheetml/2020/threadedcomments2" uri="{F7C98A9C-CBB3-438F-8F68-D28B6AF4A901}">
        <xltc2:checksum>1396992713</xltc2:checksum>
        <xltc2:hyperlink startIndex="0" length="45" url="https://app.smartsheet.com/sheets/4XG65x3p4RwQgmQWH3q4Jx6rrf2rhJfvPgwJ9w51?view=grid"/>
      </x:ext>
    </extLst>
  </threadedComment>
  <threadedComment ref="S12" dT="2026-02-10T00:24:00.32" personId="{F726CC99-03C6-490E-8867-7EA0539CBA79}" id="{F29D19A8-8059-4710-AD5E-4F47B80E205A}">
    <text>(4) Projects - Smartsheet.com</text>
    <extLst>
      <x:ext xmlns:xltc2="http://schemas.microsoft.com/office/spreadsheetml/2020/threadedcomments2" uri="{F7C98A9C-CBB3-438F-8F68-D28B6AF4A901}">
        <xltc2:checksum>2117500678</xltc2:checksum>
        <xltc2:hyperlink startIndex="0" length="29" url="https://app.smartsheet.com/sheets/VmCFPV3Q6P3Hmvjhjq5cqWqJXXJ3FRX2vWvRPhQ1?view=grid"/>
      </x:ext>
    </extLst>
  </threadedComment>
  <threadedComment ref="S13" dT="2026-02-06T19:47:45.04" personId="{F726CC99-03C6-490E-8867-7EA0539CBA79}" id="{B1772F75-741A-446D-BA8D-B3194A63B0A8}">
    <text>CSF Projects - Smartsheet.com</text>
    <extLst>
      <x:ext xmlns:xltc2="http://schemas.microsoft.com/office/spreadsheetml/2020/threadedcomments2" uri="{F7C98A9C-CBB3-438F-8F68-D28B6AF4A901}">
        <xltc2:checksum>1389566972</xltc2:checksum>
        <xltc2:hyperlink startIndex="0" length="29" url="https://app.smartsheet.com/sheets/H8fm5w2CPG33cjhfw3QcFp7x3FgqpqcRHWm48221?view=grid"/>
      </x:ext>
    </extLst>
  </threadedComment>
  <threadedComment ref="S14" dT="2026-02-20T08:51:42.01" personId="{EF6B5047-06F2-41C5-85B7-C208D924C440}" id="{67273B8F-65AD-4FDF-9302-665D55561039}">
    <text xml:space="preserve">https://app.smartsheet.com/sheets/m7qGHh8rq4qPwpxxr9qgWGHvRv4868vq7vXhxW51?view=grid </text>
    <extLst>
      <x:ext xmlns:xltc2="http://schemas.microsoft.com/office/spreadsheetml/2020/threadedcomments2" uri="{F7C98A9C-CBB3-438F-8F68-D28B6AF4A901}">
        <xltc2:checksum>3766363650</xltc2:checksum>
        <xltc2:hyperlink startIndex="0" length="84" url="https://app.smartsheet.com/sheets/m7qGHh8rq4qPwpxxr9qgWGHvRv4868vq7vXhxW51?view=grid"/>
      </x:ext>
    </extLst>
  </threadedComment>
  <threadedComment ref="S15" dT="2026-02-06T19:48:34.64" personId="{F726CC99-03C6-490E-8867-7EA0539CBA79}" id="{E0C6A48E-0738-4A7B-8FFD-D17BD20C40F5}">
    <text>Strategic initiatives - Smartsheet.com</text>
    <extLst>
      <x:ext xmlns:xltc2="http://schemas.microsoft.com/office/spreadsheetml/2020/threadedcomments2" uri="{F7C98A9C-CBB3-438F-8F68-D28B6AF4A901}">
        <xltc2:checksum>271312767</xltc2:checksum>
        <xltc2:hyperlink startIndex="0" length="38" url="https://app.smartsheet.com/sheets/38WGJ4QMm4WmHgPfm3V6pMMPV5Cxh9qvrvPGfrG1?view=grid"/>
      </x:ext>
    </extLst>
  </threadedComment>
  <threadedComment ref="S17" dT="2026-02-06T19:49:02.89" personId="{F726CC99-03C6-490E-8867-7EA0539CBA79}" id="{61F459AF-073D-4606-847A-803733DCF2DF}">
    <text>Sunnylands Projects - Smartsheet.com</text>
    <extLst>
      <x:ext xmlns:xltc2="http://schemas.microsoft.com/office/spreadsheetml/2020/threadedcomments2" uri="{F7C98A9C-CBB3-438F-8F68-D28B6AF4A901}">
        <xltc2:checksum>3502871226</xltc2:checksum>
        <xltc2:hyperlink startIndex="0" length="36" url="https://app.smartsheet.com/sheets/vHJwgxpMrwVgFRPHm92r7cchJfPr63RqRG6JHw21?view=grid"/>
      </x:ext>
    </extLst>
  </threadedComment>
  <threadedComment ref="S20" dT="2026-02-06T19:49:56.86" personId="{F726CC99-03C6-490E-8867-7EA0539CBA79}" id="{B5180C6B-84B1-4909-9764-5198E181C0C4}">
    <text>Customer Meeting - DWA Projects - Smartsheet.com</text>
    <extLst>
      <x:ext xmlns:xltc2="http://schemas.microsoft.com/office/spreadsheetml/2020/threadedcomments2" uri="{F7C98A9C-CBB3-438F-8F68-D28B6AF4A901}">
        <xltc2:checksum>3014069086</xltc2:checksum>
        <xltc2:hyperlink startIndex="0" length="48" url="https://app.smartsheet.com/sheets/M8Ch5J6FQjm29rjfc3XMMrhm2H2fRCG8v3QX5xV1?view=grid"/>
      </x:ext>
    </extLst>
  </threadedComment>
  <threadedComment ref="S21" dT="2026-02-09T22:39:44.35" personId="{F726CC99-03C6-490E-8867-7EA0539CBA79}" id="{E14DD9D9-06B6-4701-8DC1-3F12BB21FCBE}">
    <text>(6) ACC Projects - Smartsheet.com</text>
    <extLst>
      <x:ext xmlns:xltc2="http://schemas.microsoft.com/office/spreadsheetml/2020/threadedcomments2" uri="{F7C98A9C-CBB3-438F-8F68-D28B6AF4A901}">
        <xltc2:checksum>3053733745</xltc2:checksum>
        <xltc2:hyperlink startIndex="0" length="33" url="https://app.smartsheet.com/sheets/hrhcx2GJx4MW293cmr4jfw7JjCCrqV8C95pr8Fr1?view=grid"/>
      </x:ext>
    </extLst>
  </threadedComment>
  <threadedComment ref="S22" dT="2026-02-06T19:50:26.42" personId="{F726CC99-03C6-490E-8867-7EA0539CBA79}" id="{620A01EB-4498-4F7A-A4B7-FA5F9EA4E8B0}">
    <text>AdHoc Ongoing Projects - Smartsheet.com</text>
    <extLst>
      <x:ext xmlns:xltc2="http://schemas.microsoft.com/office/spreadsheetml/2020/threadedcomments2" uri="{F7C98A9C-CBB3-438F-8F68-D28B6AF4A901}">
        <xltc2:checksum>4290019369</xltc2:checksum>
        <xltc2:hyperlink startIndex="0" length="39" url="https://app.smartsheet.com/sheets/FXmc8P8PR9qgCpPG58jM484XGVcjJPcp7j82w2h1?view=grid"/>
      </x:ext>
    </extLst>
  </threadedComment>
  <threadedComment ref="S23" dT="2026-02-20T08:53:23.61" personId="{EF6B5047-06F2-41C5-85B7-C208D924C440}" id="{3D313ECA-A109-4F85-8F35-8014553A5A8F}">
    <text xml:space="preserve">https://app.smartsheet.com/sheets/m7qGHh8rq4qPwpxxr9qgWGHvRv4868vq7vXhxW51?view=grid </text>
    <extLst>
      <x:ext xmlns:xltc2="http://schemas.microsoft.com/office/spreadsheetml/2020/threadedcomments2" uri="{F7C98A9C-CBB3-438F-8F68-D28B6AF4A901}">
        <xltc2:checksum>3766363650</xltc2:checksum>
        <xltc2:hyperlink startIndex="0" length="84" url="https://app.smartsheet.com/sheets/m7qGHh8rq4qPwpxxr9qgWGHvRv4868vq7vXhxW51?view=grid"/>
      </x:ext>
    </extLst>
  </threadedComment>
  <threadedComment ref="S24" dT="2026-02-10T00:26:15.61" personId="{F726CC99-03C6-490E-8867-7EA0539CBA79}" id="{54A1EAEC-F430-4131-B946-5D0F5ADB6AFC}">
    <text>(4) Projects - Smartsheet.com</text>
    <extLst>
      <x:ext xmlns:xltc2="http://schemas.microsoft.com/office/spreadsheetml/2020/threadedcomments2" uri="{F7C98A9C-CBB3-438F-8F68-D28B6AF4A901}">
        <xltc2:checksum>2117500678</xltc2:checksum>
        <xltc2:hyperlink startIndex="0" length="29" url="https://app.smartsheet.com/sheets/gMq9cqC56rXWRHr9pWm9p8v8vcxj83QpcGjVW3J1?view=grid"/>
      </x:ext>
    </extLst>
  </threadedComment>
  <threadedComment ref="S26" dT="2026-02-06T19:55:03.08" personId="{F726CC99-03C6-490E-8867-7EA0539CBA79}" id="{4D8DF2AA-6F22-46F9-8716-307583F25B87}">
    <text>Projects - Smartsheet.com</text>
    <extLst>
      <x:ext xmlns:xltc2="http://schemas.microsoft.com/office/spreadsheetml/2020/threadedcomments2" uri="{F7C98A9C-CBB3-438F-8F68-D28B6AF4A901}">
        <xltc2:checksum>3757599240</xltc2:checksum>
        <xltc2:hyperlink startIndex="0" length="25" url="https://app.smartsheet.com/sheets/rpc4qHFxW3hF9cHGfVvgqF8X557WqPwqp97Qp971?view=grid"/>
      </x:ext>
    </extLst>
  </threadedComment>
  <threadedComment ref="S27" dT="2026-02-10T18:16:46.62" personId="{F726CC99-03C6-490E-8867-7EA0539CBA79}" id="{38459941-3AB6-4DDE-BA87-8E6DEB1D4132}">
    <text>CMSD Projects - Smartsheet.com</text>
    <extLst>
      <x:ext xmlns:xltc2="http://schemas.microsoft.com/office/spreadsheetml/2020/threadedcomments2" uri="{F7C98A9C-CBB3-438F-8F68-D28B6AF4A901}">
        <xltc2:checksum>3304403544</xltc2:checksum>
        <xltc2:hyperlink startIndex="0" length="30" url="https://app.smartsheet.com/sheets/XCqWx7hfPQhmjFcVJc6fgPC8PPvmc3xr9WPFGXX1?view=grid"/>
      </x:ext>
    </extLst>
  </threadedComment>
  <threadedComment ref="S28" dT="2026-02-24T16:53:30.99" personId="{D55BA4E8-1ACE-47A0-96AA-B12C394834F0}" id="{9E6DC657-FC1C-4270-90EB-D79405D9BAEC}">
    <text>https://app.smartsheet.com/sheets/Wp93WJ7rjJR9xGr54pGfQ5g6XV3vhWPM943xqc81</text>
    <extLst>
      <x:ext xmlns:xltc2="http://schemas.microsoft.com/office/spreadsheetml/2020/threadedcomments2" uri="{F7C98A9C-CBB3-438F-8F68-D28B6AF4A901}">
        <xltc2:checksum>1276796426</xltc2:checksum>
        <xltc2:hyperlink startIndex="0" length="74" url="https://app.smartsheet.com/sheets/Wp93WJ7rjJR9xGr54pGfQ5g6XV3vhWPM943xqc81"/>
      </x:ext>
    </extLst>
  </threadedComment>
  <threadedComment ref="S29" dT="2026-02-24T16:54:45.12" personId="{D55BA4E8-1ACE-47A0-96AA-B12C394834F0}" id="{0C6741E7-8F13-42E3-B423-84B94D5F926D}">
    <text>https://app.smartsheet.com/sheets/vcMjP3Q7hcpm8492PMV4XRgMwVx4MW3F27FR8pg1</text>
    <extLst>
      <x:ext xmlns:xltc2="http://schemas.microsoft.com/office/spreadsheetml/2020/threadedcomments2" uri="{F7C98A9C-CBB3-438F-8F68-D28B6AF4A901}">
        <xltc2:checksum>3089539428</xltc2:checksum>
        <xltc2:hyperlink startIndex="0" length="74" url="https://app.smartsheet.com/sheets/vcMjP3Q7hcpm8492PMV4XRgMwVx4MW3F27FR8pg1"/>
      </x:ext>
    </extLst>
  </threadedComment>
  <threadedComment ref="S30" dT="2026-02-09T23:08:25.53" personId="{F726CC99-03C6-490E-8867-7EA0539CBA79}" id="{CFE12ED9-7324-4F99-A878-B2BEAD70A214}">
    <text>(1) PRE Projects - Smartsheet.com</text>
    <extLst>
      <x:ext xmlns:xltc2="http://schemas.microsoft.com/office/spreadsheetml/2020/threadedcomments2" uri="{F7C98A9C-CBB3-438F-8F68-D28B6AF4A901}">
        <xltc2:checksum>1429242930</xltc2:checksum>
        <xltc2:hyperlink startIndex="0" length="33" url="https://app.smartsheet.com/sheets/x3mFMr37jg8VHfxfvV7F2RJmWQ9XXx99q5GRQwr1?view=grid"/>
      </x:ext>
    </extLst>
  </threadedComment>
  <threadedComment ref="S31" dT="2026-02-20T10:01:37.97" personId="{EF6B5047-06F2-41C5-85B7-C208D924C440}" id="{5ED9DEE9-CF05-4A3E-8682-98F8D4A7681A}">
    <text xml:space="preserve">https://app.smartsheet.com/sheets/VRP6xWQQGvMg9c87583CJjxMX8pM5g4Xv6HR5h41?view=grid </text>
    <extLst>
      <x:ext xmlns:xltc2="http://schemas.microsoft.com/office/spreadsheetml/2020/threadedcomments2" uri="{F7C98A9C-CBB3-438F-8F68-D28B6AF4A901}">
        <xltc2:checksum>2591991499</xltc2:checksum>
        <xltc2:hyperlink startIndex="0" length="84" url="https://app.smartsheet.com/sheets/VRP6xWQQGvMg9c87583CJjxMX8pM5g4Xv6HR5h41?view=grid"/>
      </x:ext>
    </extLst>
  </threadedComment>
  <threadedComment ref="S33" dT="2026-02-06T19:57:04.14" personId="{F726CC99-03C6-490E-8867-7EA0539CBA79}" id="{0BBEA984-0AB3-41B2-A5F0-2206CF295E0F}">
    <text>SCCCN - Smartsheet - Smartsheet.com</text>
    <extLst>
      <x:ext xmlns:xltc2="http://schemas.microsoft.com/office/spreadsheetml/2020/threadedcomments2" uri="{F7C98A9C-CBB3-438F-8F68-D28B6AF4A901}">
        <xltc2:checksum>357819227</xltc2:checksum>
        <xltc2:hyperlink startIndex="0" length="35" url="https://app.smartsheet.com/sheets/mc9Mgv9GmMfvPvXqJWXvm3RQCqqm3cj7RR7prMX1?view=gantt"/>
      </x:ext>
    </extLst>
  </threadedComment>
  <threadedComment ref="S34" dT="2026-02-09T23:09:54.07" personId="{F726CC99-03C6-490E-8867-7EA0539CBA79}" id="{745A6A3B-6D86-4E00-AE01-B19E490F692E}">
    <text>(1) Client Strategic Initiatives - Smartsheet.com</text>
    <extLst>
      <x:ext xmlns:xltc2="http://schemas.microsoft.com/office/spreadsheetml/2020/threadedcomments2" uri="{F7C98A9C-CBB3-438F-8F68-D28B6AF4A901}">
        <xltc2:checksum>1416424020</xltc2:checksum>
        <xltc2:hyperlink startIndex="0" length="49" url="https://app.smartsheet.com/sheets/rXc87335Mr7VgJxCf58775vfWG2JRQRGCw4rwX41?view=gantt"/>
      </x:ext>
    </extLst>
  </threadedComment>
  <threadedComment ref="S35" dT="2026-02-10T18:15:25.89" personId="{F726CC99-03C6-490E-8867-7EA0539CBA79}" id="{F09C43B2-F942-4B3C-9A21-D131151F5A23}">
    <text>Projects - Smartsheet.com</text>
    <extLst>
      <x:ext xmlns:xltc2="http://schemas.microsoft.com/office/spreadsheetml/2020/threadedcomments2" uri="{F7C98A9C-CBB3-438F-8F68-D28B6AF4A901}">
        <xltc2:checksum>3757599240</xltc2:checksum>
        <xltc2:hyperlink startIndex="0" length="25" url="https://app.smartsheet.com/sheets/22RxqhR5pqWxGV73Q82r6M6gf5Q8MWv9hwqhmPF1?view=grid"/>
      </x:ext>
    </extLst>
  </threadedComment>
  <threadedComment ref="S41" dT="2026-02-20T09:36:46.09" personId="{EF6B5047-06F2-41C5-85B7-C208D924C440}" id="{2EDF4BF3-7B6C-493B-8DDA-32086500D0D6}">
    <text xml:space="preserve">https://app.smartsheet.com/sheets/v5fV4Q5c3PFW7r856rXVfWVfV6PrRWmQpvRQ5441?view=grid </text>
    <extLst>
      <x:ext xmlns:xltc2="http://schemas.microsoft.com/office/spreadsheetml/2020/threadedcomments2" uri="{F7C98A9C-CBB3-438F-8F68-D28B6AF4A901}">
        <xltc2:checksum>3660644925</xltc2:checksum>
        <xltc2:hyperlink startIndex="0" length="84" url="https://app.smartsheet.com/sheets/v5fV4Q5c3PFW7r856rXVfWVfV6PrRWmQpvRQ5441?view=grid"/>
      </x:ext>
    </extLst>
  </threadedComment>
  <threadedComment ref="S50" dT="2026-02-09T23:13:14.99" personId="{F726CC99-03C6-490E-8867-7EA0539CBA79}" id="{F75AB859-68E4-4B62-A53C-59F10D1BDD32}">
    <text>LJC - Smartsheet.com</text>
    <extLst>
      <x:ext xmlns:xltc2="http://schemas.microsoft.com/office/spreadsheetml/2020/threadedcomments2" uri="{F7C98A9C-CBB3-438F-8F68-D28B6AF4A901}">
        <xltc2:checksum>796118824</xltc2:checksum>
        <xltc2:hyperlink startIndex="0" length="20" url="https://app.smartsheet.com/workspaces/XVcPXQ6wQjRWCHC97MqHgM7vX3mFHfX9qrXC2Xv1"/>
      </x:ext>
    </extLst>
  </threadedComment>
  <threadedComment ref="S52" dT="2026-02-09T23:12:19.36" personId="{F726CC99-03C6-490E-8867-7EA0539CBA79}" id="{35144CB5-7CAD-437F-AC55-FAD70FE2917B}">
    <text>Smartsheet</text>
    <extLst>
      <x:ext xmlns:xltc2="http://schemas.microsoft.com/office/spreadsheetml/2020/threadedcomments2" uri="{F7C98A9C-CBB3-438F-8F68-D28B6AF4A901}">
        <xltc2:checksum>256740965</xltc2:checksum>
        <xltc2:hyperlink startIndex="0" length="10" url="https://app.smartsheet.com/workspaces/8WXv8m2gJhfcVH8FVG4fCFxmmhWH9wGrQHxfvQx1"/>
      </x:ext>
    </extLst>
  </threadedComment>
  <threadedComment ref="S56" dT="2026-02-20T09:10:00.78" personId="{EF6B5047-06F2-41C5-85B7-C208D924C440}" id="{D734E6BB-A721-407F-B5B0-1E1FB4350E97}">
    <text xml:space="preserve">https://app.smartsheet.com/sheets/m4w7C8WWjHcWfj3Rfpx5XRpmhMCJ86g97WGPVGV1?view=grid </text>
    <extLst>
      <x:ext xmlns:xltc2="http://schemas.microsoft.com/office/spreadsheetml/2020/threadedcomments2" uri="{F7C98A9C-CBB3-438F-8F68-D28B6AF4A901}">
        <xltc2:checksum>462763967</xltc2:checksum>
        <xltc2:hyperlink startIndex="0" length="84" url="https://app.smartsheet.com/sheets/m4w7C8WWjHcWfj3Rfpx5XRpmhMCJ86g97WGPVGV1?view=grid"/>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D11" dT="2025-11-14T19:20:48.57" personId="{D55BA4E8-1ACE-47A0-96AA-B12C394834F0}" id="{0B37E188-EAFD-43B0-BA05-FA51D02CFFD3}">
    <text>1 yr left to extend the contract. Craig has made progress/confidence in the renewal after extension.</text>
  </threadedComment>
  <threadedComment ref="H35" dT="2025-11-21T18:22:14.59" personId="{B539C390-DD69-4857-B32B-E39F5205D50A}" id="{F6663052-0926-45D0-9B9E-CC2AEBF28CF5}">
    <text>Customer wants 2 options rolling over to monthly and extending: Option 1: Month-to-Month Renewal
Your agreement will automatically convert to a month-to-month term unless a new contract is signed. During this period, we can continue providing the same level of service. Please also note that the monthly recurring charge (MRC) will be adjusted to reflect current market rates. (no discount, new contract at $6,100
Option 2: New Term Agreement
Lock in pricing at current market rates and secure additional benefits or a possible discount by signing a new  36-month agreement. This option offers:
Preferred pricing compared to month-to-month rates
Continued alignment with your IT roadmap and budget planning
Priority access to new service enhancements (discount should be proposed of $380 monthly) 3 yr contract at $5,720</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hyperlink" Target="../../../../:x:/s/AcornFiles/IQB4K6OOEEk2S5qROzunerjdAaC--E-vqpfRzGpwXB31jQ0?e=uK7MtA" TargetMode="External"/><Relationship Id="rId2" Type="http://schemas.openxmlformats.org/officeDocument/2006/relationships/hyperlink" Target="../../../../:i:/s/AcornFiles/IQC0whfhfjFaRYuWVLV5__XnAUHYhjq7cMFnDigDqCY0qaM?e=KA5aKK" TargetMode="External"/><Relationship Id="rId1" Type="http://schemas.openxmlformats.org/officeDocument/2006/relationships/hyperlink" Target="https://acorntechservices-my.sharepoint.com/:w:/p/rwambolt/IQC0UT_rTrsrRKB5Pv9sWzv1Aalhff2Su1m6Xxm-rSHVeIM?e=vbI4FO" TargetMode="External"/><Relationship Id="rId4" Type="http://schemas.openxmlformats.org/officeDocument/2006/relationships/hyperlink" Target="../../../../:x:/s/AcornFiles/IQBm_OVKaXheR6LvS3CpbEpAAQ2cQvfIImd-kyxPasKbGGs?e=l8wcP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B6619-C296-2F47-A6BF-A0680759401E}">
  <dimension ref="A1:V88"/>
  <sheetViews>
    <sheetView tabSelected="1" zoomScale="70" zoomScaleNormal="70" workbookViewId="0">
      <pane ySplit="2" topLeftCell="A3" activePane="bottomLeft" state="frozen"/>
      <selection pane="bottomLeft" activeCell="S50" sqref="S50"/>
    </sheetView>
  </sheetViews>
  <sheetFormatPr defaultColWidth="11" defaultRowHeight="15.95"/>
  <cols>
    <col min="1" max="1" width="18.125" customWidth="1"/>
    <col min="2" max="2" width="44.125" customWidth="1"/>
    <col min="3" max="3" width="17.125" hidden="1" customWidth="1"/>
    <col min="4" max="4" width="0" hidden="1" customWidth="1"/>
    <col min="6" max="6" width="17" customWidth="1"/>
    <col min="8" max="8" width="13.5" customWidth="1"/>
    <col min="10" max="10" width="26.125" bestFit="1" customWidth="1"/>
    <col min="11" max="11" width="24.375" customWidth="1"/>
    <col min="12" max="12" width="11.625" style="93" customWidth="1"/>
    <col min="13" max="13" width="25.5" style="93" bestFit="1" customWidth="1"/>
    <col min="14" max="14" width="31" style="93" bestFit="1" customWidth="1"/>
    <col min="15" max="15" width="28.625" bestFit="1" customWidth="1"/>
    <col min="16" max="16" width="26.375" bestFit="1" customWidth="1"/>
    <col min="17" max="17" width="42.625" bestFit="1" customWidth="1"/>
    <col min="18" max="18" width="21.125" style="20" bestFit="1" customWidth="1"/>
    <col min="19" max="19" width="10.375" bestFit="1" customWidth="1"/>
    <col min="20" max="20" width="51.375" customWidth="1"/>
    <col min="21" max="21" width="31.375" bestFit="1" customWidth="1"/>
    <col min="22" max="22" width="20.625" bestFit="1" customWidth="1"/>
  </cols>
  <sheetData>
    <row r="1" spans="1:22" s="3" customFormat="1">
      <c r="A1" s="68" t="s">
        <v>0</v>
      </c>
      <c r="B1" s="69" t="s">
        <v>1</v>
      </c>
      <c r="C1" s="69" t="s">
        <v>2</v>
      </c>
      <c r="D1" s="69" t="s">
        <v>3</v>
      </c>
      <c r="E1" s="69" t="s">
        <v>4</v>
      </c>
      <c r="F1" s="69" t="s">
        <v>5</v>
      </c>
      <c r="G1" s="69" t="s">
        <v>6</v>
      </c>
      <c r="H1" s="69" t="s">
        <v>7</v>
      </c>
      <c r="I1" s="69" t="s">
        <v>8</v>
      </c>
      <c r="J1" s="70" t="s">
        <v>9</v>
      </c>
      <c r="K1" s="70" t="s">
        <v>10</v>
      </c>
      <c r="L1" s="70" t="s">
        <v>11</v>
      </c>
      <c r="M1" s="88" t="s">
        <v>12</v>
      </c>
      <c r="N1" s="88" t="s">
        <v>13</v>
      </c>
      <c r="O1" s="69" t="s">
        <v>14</v>
      </c>
      <c r="P1" s="69" t="s">
        <v>15</v>
      </c>
      <c r="Q1" s="69" t="s">
        <v>16</v>
      </c>
      <c r="R1" s="71" t="s">
        <v>17</v>
      </c>
      <c r="S1" s="71" t="s">
        <v>18</v>
      </c>
      <c r="T1" s="70" t="s">
        <v>19</v>
      </c>
      <c r="U1" s="69" t="s">
        <v>20</v>
      </c>
      <c r="V1" s="72" t="s">
        <v>21</v>
      </c>
    </row>
    <row r="2" spans="1:22" s="3" customFormat="1">
      <c r="K2" s="14" t="s">
        <v>22</v>
      </c>
      <c r="L2" s="89"/>
      <c r="M2" s="89"/>
      <c r="N2" s="100" t="s">
        <v>23</v>
      </c>
      <c r="O2" s="3" t="s">
        <v>24</v>
      </c>
      <c r="R2" s="41"/>
      <c r="S2" s="3" t="s">
        <v>25</v>
      </c>
      <c r="T2" s="14" t="s">
        <v>26</v>
      </c>
    </row>
    <row r="3" spans="1:22" s="3" customFormat="1">
      <c r="A3" s="74" t="s">
        <v>27</v>
      </c>
      <c r="B3" s="107"/>
      <c r="C3" s="108"/>
      <c r="D3" s="108"/>
      <c r="E3" s="108"/>
      <c r="F3" s="108"/>
      <c r="G3" s="108"/>
      <c r="H3" s="108"/>
      <c r="I3" s="108"/>
      <c r="J3" s="109"/>
      <c r="K3" s="109"/>
      <c r="L3" s="108"/>
      <c r="M3" s="108"/>
      <c r="N3" s="108"/>
      <c r="O3" s="108"/>
      <c r="P3" s="108"/>
      <c r="Q3" s="108"/>
      <c r="R3" s="108"/>
      <c r="S3" s="110"/>
      <c r="T3" s="67" t="s">
        <v>28</v>
      </c>
      <c r="U3" s="42"/>
      <c r="V3" s="42"/>
    </row>
    <row r="4" spans="1:22">
      <c r="A4" s="43" t="s">
        <v>29</v>
      </c>
      <c r="B4" s="43" t="s">
        <v>30</v>
      </c>
      <c r="C4" s="44">
        <v>47696</v>
      </c>
      <c r="D4" s="45">
        <v>70000</v>
      </c>
      <c r="E4" s="43" t="s">
        <v>27</v>
      </c>
      <c r="F4" s="43" t="s">
        <v>31</v>
      </c>
      <c r="G4" s="46">
        <v>215</v>
      </c>
      <c r="H4" s="43" t="s">
        <v>32</v>
      </c>
      <c r="I4" s="94"/>
      <c r="J4" s="43"/>
      <c r="K4" s="49" t="b">
        <v>0</v>
      </c>
      <c r="L4" s="105"/>
      <c r="M4" s="90"/>
      <c r="N4" s="96"/>
      <c r="O4" s="48" t="s">
        <v>33</v>
      </c>
      <c r="P4" s="43" t="s">
        <v>34</v>
      </c>
      <c r="Q4" s="43" t="s">
        <v>35</v>
      </c>
      <c r="R4" s="49" t="b">
        <v>1</v>
      </c>
      <c r="S4" s="50" t="b">
        <v>1</v>
      </c>
      <c r="T4" s="43"/>
      <c r="U4" s="43"/>
      <c r="V4" s="43"/>
    </row>
    <row r="5" spans="1:22">
      <c r="A5" s="43" t="s">
        <v>36</v>
      </c>
      <c r="B5" s="43" t="s">
        <v>37</v>
      </c>
      <c r="C5" s="51">
        <v>46554</v>
      </c>
      <c r="D5" s="45">
        <v>30561</v>
      </c>
      <c r="E5" s="43" t="s">
        <v>27</v>
      </c>
      <c r="F5" s="43" t="s">
        <v>38</v>
      </c>
      <c r="G5" s="43">
        <v>108</v>
      </c>
      <c r="H5" s="43" t="s">
        <v>32</v>
      </c>
      <c r="I5" s="94"/>
      <c r="J5" s="51">
        <v>46044</v>
      </c>
      <c r="K5" s="49" t="b">
        <v>0</v>
      </c>
      <c r="L5" s="105">
        <v>46044</v>
      </c>
      <c r="M5" s="96"/>
      <c r="N5" s="96"/>
      <c r="O5" s="48" t="s">
        <v>39</v>
      </c>
      <c r="P5" s="43" t="s">
        <v>34</v>
      </c>
      <c r="Q5" s="43" t="s">
        <v>40</v>
      </c>
      <c r="R5" s="49" t="b">
        <v>1</v>
      </c>
      <c r="S5" s="50" t="b">
        <v>1</v>
      </c>
      <c r="T5" s="43"/>
      <c r="U5" s="43"/>
      <c r="V5" s="43"/>
    </row>
    <row r="6" spans="1:22">
      <c r="A6" s="43" t="s">
        <v>41</v>
      </c>
      <c r="B6" s="43" t="s">
        <v>42</v>
      </c>
      <c r="C6" s="51">
        <v>46965</v>
      </c>
      <c r="D6" s="45">
        <v>18000</v>
      </c>
      <c r="E6" s="43" t="s">
        <v>27</v>
      </c>
      <c r="F6" s="43" t="s">
        <v>43</v>
      </c>
      <c r="G6" s="43">
        <v>290</v>
      </c>
      <c r="H6" s="43" t="s">
        <v>44</v>
      </c>
      <c r="I6" s="94" t="s">
        <v>45</v>
      </c>
      <c r="J6" s="51">
        <v>46070</v>
      </c>
      <c r="K6" s="49" t="b">
        <v>1</v>
      </c>
      <c r="L6" s="105">
        <v>46072</v>
      </c>
      <c r="M6" s="96"/>
      <c r="N6" s="96"/>
      <c r="O6" s="48"/>
      <c r="P6" s="43"/>
      <c r="Q6" s="43"/>
      <c r="R6" s="49" t="b">
        <v>1</v>
      </c>
      <c r="S6" s="50" t="b">
        <v>1</v>
      </c>
      <c r="T6" s="43"/>
      <c r="U6" s="43"/>
      <c r="V6" s="43"/>
    </row>
    <row r="7" spans="1:22">
      <c r="A7" s="43" t="s">
        <v>46</v>
      </c>
      <c r="B7" s="43" t="s">
        <v>47</v>
      </c>
      <c r="C7" s="43"/>
      <c r="D7" s="45">
        <v>19300</v>
      </c>
      <c r="E7" s="43" t="s">
        <v>27</v>
      </c>
      <c r="F7" s="43" t="s">
        <v>38</v>
      </c>
      <c r="G7" s="43">
        <v>150</v>
      </c>
      <c r="H7" s="43" t="s">
        <v>44</v>
      </c>
      <c r="I7" s="94"/>
      <c r="J7" s="51">
        <v>46038</v>
      </c>
      <c r="K7" s="49" t="b">
        <v>0</v>
      </c>
      <c r="L7" s="105">
        <v>46042</v>
      </c>
      <c r="M7" s="96"/>
      <c r="N7" s="96"/>
      <c r="O7" s="48" t="s">
        <v>48</v>
      </c>
      <c r="P7" s="43" t="s">
        <v>49</v>
      </c>
      <c r="Q7" s="103" t="s">
        <v>50</v>
      </c>
      <c r="R7" s="49" t="b">
        <v>1</v>
      </c>
      <c r="S7" s="50" t="b">
        <v>1</v>
      </c>
      <c r="T7" s="43"/>
      <c r="U7" s="43"/>
      <c r="V7" s="43"/>
    </row>
    <row r="8" spans="1:22">
      <c r="A8" s="43" t="s">
        <v>51</v>
      </c>
      <c r="B8" s="43" t="s">
        <v>52</v>
      </c>
      <c r="C8" s="52">
        <v>46074</v>
      </c>
      <c r="D8" s="45">
        <v>21121</v>
      </c>
      <c r="E8" s="43" t="s">
        <v>27</v>
      </c>
      <c r="F8" s="43" t="s">
        <v>43</v>
      </c>
      <c r="G8" s="43">
        <v>100</v>
      </c>
      <c r="H8" s="43" t="s">
        <v>44</v>
      </c>
      <c r="I8" s="94"/>
      <c r="J8" s="51"/>
      <c r="K8" s="49" t="b">
        <v>0</v>
      </c>
      <c r="L8" s="105"/>
      <c r="M8" s="90"/>
      <c r="N8" s="96"/>
      <c r="O8" s="48" t="s">
        <v>39</v>
      </c>
      <c r="P8" s="43"/>
      <c r="Q8" s="43"/>
      <c r="R8" s="49" t="b">
        <v>1</v>
      </c>
      <c r="S8" s="50" t="b">
        <v>1</v>
      </c>
      <c r="T8" s="43"/>
      <c r="U8" s="43"/>
      <c r="V8" s="43"/>
    </row>
    <row r="9" spans="1:22">
      <c r="A9" s="43" t="s">
        <v>53</v>
      </c>
      <c r="B9" s="43" t="s">
        <v>54</v>
      </c>
      <c r="C9" s="51">
        <v>46568</v>
      </c>
      <c r="D9" s="45">
        <v>26500</v>
      </c>
      <c r="E9" s="43" t="s">
        <v>27</v>
      </c>
      <c r="F9" s="43" t="s">
        <v>38</v>
      </c>
      <c r="G9" s="43">
        <v>173</v>
      </c>
      <c r="H9" s="43" t="s">
        <v>44</v>
      </c>
      <c r="I9" s="94" t="s">
        <v>55</v>
      </c>
      <c r="J9" s="51">
        <v>46043</v>
      </c>
      <c r="K9" s="49" t="b">
        <v>0</v>
      </c>
      <c r="L9" s="105">
        <v>46044</v>
      </c>
      <c r="M9" s="90"/>
      <c r="N9" s="99"/>
      <c r="O9" s="48"/>
      <c r="P9" s="43" t="s">
        <v>56</v>
      </c>
      <c r="Q9" s="43" t="s">
        <v>57</v>
      </c>
      <c r="R9" s="49" t="b">
        <v>1</v>
      </c>
      <c r="S9" s="50" t="b">
        <v>1</v>
      </c>
      <c r="T9" s="43"/>
      <c r="U9" s="43"/>
      <c r="V9" s="43"/>
    </row>
    <row r="10" spans="1:22">
      <c r="A10" s="43" t="s">
        <v>58</v>
      </c>
      <c r="B10" s="43" t="s">
        <v>59</v>
      </c>
      <c r="C10" s="53">
        <v>46326</v>
      </c>
      <c r="D10" s="45">
        <v>22800</v>
      </c>
      <c r="E10" s="43" t="s">
        <v>27</v>
      </c>
      <c r="F10" s="43" t="s">
        <v>43</v>
      </c>
      <c r="G10" s="43">
        <v>90</v>
      </c>
      <c r="H10" s="43" t="s">
        <v>44</v>
      </c>
      <c r="I10" s="94"/>
      <c r="J10" s="43"/>
      <c r="K10" s="49" t="b">
        <v>0</v>
      </c>
      <c r="L10" s="105"/>
      <c r="M10" s="90"/>
      <c r="N10" s="96"/>
      <c r="O10" s="48" t="s">
        <v>39</v>
      </c>
      <c r="P10" s="43" t="s">
        <v>60</v>
      </c>
      <c r="Q10" s="43" t="s">
        <v>61</v>
      </c>
      <c r="R10" s="49" t="b">
        <v>1</v>
      </c>
      <c r="S10" s="50" t="b">
        <v>1</v>
      </c>
      <c r="T10" s="43"/>
      <c r="U10" s="43"/>
      <c r="V10" s="43"/>
    </row>
    <row r="11" spans="1:22">
      <c r="A11" s="43" t="s">
        <v>62</v>
      </c>
      <c r="B11" s="43" t="s">
        <v>63</v>
      </c>
      <c r="C11" s="51">
        <v>47664</v>
      </c>
      <c r="D11" s="45">
        <v>36156</v>
      </c>
      <c r="E11" s="43" t="s">
        <v>27</v>
      </c>
      <c r="F11" s="43" t="s">
        <v>43</v>
      </c>
      <c r="G11" s="43">
        <v>400</v>
      </c>
      <c r="H11" s="43" t="s">
        <v>44</v>
      </c>
      <c r="I11" s="94"/>
      <c r="J11" s="51">
        <v>46077</v>
      </c>
      <c r="K11" s="49" t="b">
        <v>1</v>
      </c>
      <c r="L11" s="105">
        <v>46078</v>
      </c>
      <c r="M11" s="90"/>
      <c r="N11" s="96"/>
      <c r="O11" s="48"/>
      <c r="P11" s="43" t="s">
        <v>64</v>
      </c>
      <c r="Q11" s="43" t="s">
        <v>65</v>
      </c>
      <c r="R11" s="49" t="b">
        <v>1</v>
      </c>
      <c r="S11" s="50" t="b">
        <v>1</v>
      </c>
      <c r="T11" s="43"/>
      <c r="U11" s="43"/>
      <c r="V11" s="43"/>
    </row>
    <row r="12" spans="1:22">
      <c r="A12" s="43" t="s">
        <v>66</v>
      </c>
      <c r="B12" s="43" t="s">
        <v>67</v>
      </c>
      <c r="C12" s="51">
        <v>46559</v>
      </c>
      <c r="D12" s="45">
        <v>14986</v>
      </c>
      <c r="E12" s="43" t="s">
        <v>27</v>
      </c>
      <c r="F12" s="43" t="s">
        <v>43</v>
      </c>
      <c r="G12" s="43">
        <v>145</v>
      </c>
      <c r="H12" s="43" t="s">
        <v>32</v>
      </c>
      <c r="I12" s="94"/>
      <c r="J12" s="51"/>
      <c r="K12" s="49" t="b">
        <v>0</v>
      </c>
      <c r="L12" s="105"/>
      <c r="M12" s="90"/>
      <c r="N12" s="96"/>
      <c r="O12" s="48"/>
      <c r="P12" s="43" t="s">
        <v>49</v>
      </c>
      <c r="Q12" s="43" t="s">
        <v>68</v>
      </c>
      <c r="R12" s="49" t="b">
        <v>1</v>
      </c>
      <c r="S12" s="50" t="b">
        <v>1</v>
      </c>
      <c r="T12" s="43"/>
      <c r="U12" s="43"/>
      <c r="V12" s="43"/>
    </row>
    <row r="13" spans="1:22">
      <c r="A13" s="43" t="s">
        <v>69</v>
      </c>
      <c r="B13" s="43" t="s">
        <v>70</v>
      </c>
      <c r="C13" s="52">
        <v>46326</v>
      </c>
      <c r="D13" s="45">
        <v>17154</v>
      </c>
      <c r="E13" s="43" t="s">
        <v>27</v>
      </c>
      <c r="F13" s="43" t="s">
        <v>43</v>
      </c>
      <c r="G13" s="43">
        <v>230</v>
      </c>
      <c r="H13" s="43" t="s">
        <v>44</v>
      </c>
      <c r="I13" s="94"/>
      <c r="J13" s="43"/>
      <c r="K13" s="49" t="b">
        <v>0</v>
      </c>
      <c r="L13" s="105"/>
      <c r="M13" s="90"/>
      <c r="N13" s="96"/>
      <c r="O13" s="48" t="s">
        <v>39</v>
      </c>
      <c r="P13" s="43"/>
      <c r="Q13" s="43"/>
      <c r="R13" s="49" t="b">
        <v>1</v>
      </c>
      <c r="S13" s="50" t="b">
        <v>1</v>
      </c>
      <c r="T13" s="43"/>
      <c r="U13" s="43"/>
      <c r="V13" s="43"/>
    </row>
    <row r="14" spans="1:22">
      <c r="A14" s="43" t="s">
        <v>71</v>
      </c>
      <c r="B14" s="43" t="s">
        <v>72</v>
      </c>
      <c r="C14" s="51">
        <v>46630</v>
      </c>
      <c r="D14" s="45">
        <v>4720</v>
      </c>
      <c r="E14" s="43" t="s">
        <v>27</v>
      </c>
      <c r="F14" s="43" t="s">
        <v>43</v>
      </c>
      <c r="G14" s="43">
        <v>24</v>
      </c>
      <c r="H14" s="43" t="s">
        <v>32</v>
      </c>
      <c r="I14" s="94" t="s">
        <v>73</v>
      </c>
      <c r="J14" s="43"/>
      <c r="K14" s="49" t="b">
        <v>0</v>
      </c>
      <c r="L14" s="105"/>
      <c r="M14" s="90"/>
      <c r="N14" s="96"/>
      <c r="O14" s="122" t="s">
        <v>48</v>
      </c>
      <c r="P14" s="122" t="s">
        <v>74</v>
      </c>
      <c r="Q14" s="122" t="s">
        <v>65</v>
      </c>
      <c r="R14" s="49" t="b">
        <v>1</v>
      </c>
      <c r="S14" s="50" t="b">
        <v>1</v>
      </c>
      <c r="T14" s="43"/>
      <c r="U14" s="43"/>
      <c r="V14" s="43"/>
    </row>
    <row r="15" spans="1:22">
      <c r="A15" s="43" t="s">
        <v>75</v>
      </c>
      <c r="B15" s="43" t="s">
        <v>76</v>
      </c>
      <c r="C15" s="51">
        <v>46630</v>
      </c>
      <c r="D15" s="45">
        <v>35030</v>
      </c>
      <c r="E15" s="43" t="s">
        <v>27</v>
      </c>
      <c r="F15" s="43" t="s">
        <v>31</v>
      </c>
      <c r="G15" s="43">
        <v>333</v>
      </c>
      <c r="H15" s="43" t="s">
        <v>32</v>
      </c>
      <c r="I15" s="94" t="s">
        <v>73</v>
      </c>
      <c r="J15" s="87"/>
      <c r="K15" s="49" t="b">
        <v>0</v>
      </c>
      <c r="L15" s="105"/>
      <c r="M15" s="90"/>
      <c r="N15" s="96"/>
      <c r="O15" s="122"/>
      <c r="P15" s="122"/>
      <c r="Q15" s="122"/>
      <c r="R15" s="49" t="b">
        <v>1</v>
      </c>
      <c r="S15" s="132" t="b">
        <v>1</v>
      </c>
      <c r="T15" s="43"/>
      <c r="U15" s="43"/>
      <c r="V15" s="43"/>
    </row>
    <row r="16" spans="1:22">
      <c r="A16" s="43" t="s">
        <v>77</v>
      </c>
      <c r="B16" s="43" t="s">
        <v>78</v>
      </c>
      <c r="C16" s="51">
        <v>46630</v>
      </c>
      <c r="D16" s="45">
        <v>38860</v>
      </c>
      <c r="E16" s="43" t="s">
        <v>27</v>
      </c>
      <c r="F16" s="43" t="s">
        <v>31</v>
      </c>
      <c r="G16" s="43">
        <v>170</v>
      </c>
      <c r="H16" s="43" t="s">
        <v>32</v>
      </c>
      <c r="I16" s="94" t="s">
        <v>73</v>
      </c>
      <c r="J16" s="87"/>
      <c r="K16" s="49" t="b">
        <v>0</v>
      </c>
      <c r="L16" s="105"/>
      <c r="M16" s="90"/>
      <c r="N16" s="96"/>
      <c r="O16" s="122"/>
      <c r="P16" s="122"/>
      <c r="Q16" s="122"/>
      <c r="R16" s="49" t="b">
        <v>1</v>
      </c>
      <c r="S16" s="133"/>
      <c r="T16" s="43"/>
      <c r="U16" s="43"/>
      <c r="V16" s="43"/>
    </row>
    <row r="17" spans="1:22">
      <c r="A17" s="43" t="s">
        <v>79</v>
      </c>
      <c r="B17" s="43" t="s">
        <v>80</v>
      </c>
      <c r="C17" s="52">
        <v>46203</v>
      </c>
      <c r="D17" s="45">
        <v>16000</v>
      </c>
      <c r="E17" s="43" t="s">
        <v>27</v>
      </c>
      <c r="F17" s="43" t="s">
        <v>38</v>
      </c>
      <c r="G17" s="43">
        <v>155</v>
      </c>
      <c r="H17" s="43" t="s">
        <v>32</v>
      </c>
      <c r="I17" s="94" t="s">
        <v>55</v>
      </c>
      <c r="J17" s="51">
        <v>46048</v>
      </c>
      <c r="K17" s="49" t="b">
        <v>0</v>
      </c>
      <c r="L17" s="105">
        <v>46052</v>
      </c>
      <c r="M17" s="90"/>
      <c r="N17" s="96"/>
      <c r="O17" s="48" t="s">
        <v>48</v>
      </c>
      <c r="P17" s="43" t="s">
        <v>34</v>
      </c>
      <c r="Q17" s="43" t="s">
        <v>65</v>
      </c>
      <c r="R17" s="49" t="b">
        <v>1</v>
      </c>
      <c r="S17" s="50" t="b">
        <v>1</v>
      </c>
      <c r="T17" s="43"/>
      <c r="U17" s="43"/>
      <c r="V17" s="43"/>
    </row>
    <row r="18" spans="1:22" s="3" customFormat="1">
      <c r="A18" s="127"/>
      <c r="B18" s="128"/>
      <c r="C18" s="128"/>
      <c r="D18" s="128"/>
      <c r="E18" s="128"/>
      <c r="F18" s="128"/>
      <c r="G18" s="128"/>
      <c r="H18" s="128"/>
      <c r="I18" s="128"/>
      <c r="J18" s="129"/>
      <c r="K18" s="129"/>
      <c r="L18" s="130"/>
      <c r="M18" s="128"/>
      <c r="N18" s="128"/>
      <c r="O18" s="128"/>
      <c r="P18" s="128"/>
      <c r="Q18" s="128"/>
      <c r="R18" s="128"/>
      <c r="S18" s="128"/>
      <c r="T18" s="128"/>
      <c r="U18" s="128"/>
      <c r="V18" s="131"/>
    </row>
    <row r="19" spans="1:22" s="3" customFormat="1">
      <c r="A19" s="74" t="s">
        <v>81</v>
      </c>
      <c r="B19" s="111"/>
      <c r="C19" s="112"/>
      <c r="D19" s="112"/>
      <c r="E19" s="112"/>
      <c r="F19" s="112"/>
      <c r="G19" s="112"/>
      <c r="H19" s="112"/>
      <c r="I19" s="112"/>
      <c r="J19" s="112"/>
      <c r="K19" s="112"/>
      <c r="L19" s="108"/>
      <c r="M19" s="112"/>
      <c r="N19" s="112"/>
      <c r="O19" s="112"/>
      <c r="P19" s="112"/>
      <c r="Q19" s="112"/>
      <c r="R19" s="112"/>
      <c r="S19" s="112"/>
      <c r="T19" s="112"/>
      <c r="U19" s="112"/>
      <c r="V19" s="113"/>
    </row>
    <row r="20" spans="1:22">
      <c r="A20" s="43" t="s">
        <v>82</v>
      </c>
      <c r="B20" s="43" t="s">
        <v>83</v>
      </c>
      <c r="C20" s="53">
        <v>45530</v>
      </c>
      <c r="D20" s="45">
        <v>9120</v>
      </c>
      <c r="E20" s="43" t="s">
        <v>81</v>
      </c>
      <c r="F20" s="43" t="s">
        <v>38</v>
      </c>
      <c r="G20" s="43">
        <v>85</v>
      </c>
      <c r="H20" s="59" t="s">
        <v>84</v>
      </c>
      <c r="I20" s="47"/>
      <c r="J20" s="51">
        <v>46083</v>
      </c>
      <c r="K20" s="49" t="b">
        <v>1</v>
      </c>
      <c r="L20" s="90">
        <v>46085</v>
      </c>
      <c r="M20" s="90"/>
      <c r="N20" s="96"/>
      <c r="O20" s="48"/>
      <c r="P20" s="43" t="s">
        <v>85</v>
      </c>
      <c r="Q20" s="43" t="s">
        <v>65</v>
      </c>
      <c r="R20" s="49" t="b">
        <v>1</v>
      </c>
      <c r="S20" s="50" t="b">
        <v>1</v>
      </c>
      <c r="T20" s="43"/>
      <c r="U20" s="43"/>
      <c r="V20" s="43"/>
    </row>
    <row r="21" spans="1:22">
      <c r="A21" s="43" t="s">
        <v>86</v>
      </c>
      <c r="B21" s="43" t="s">
        <v>87</v>
      </c>
      <c r="C21" s="51">
        <v>46419</v>
      </c>
      <c r="D21" s="45">
        <v>4659</v>
      </c>
      <c r="E21" s="43" t="s">
        <v>81</v>
      </c>
      <c r="F21" s="43" t="s">
        <v>38</v>
      </c>
      <c r="G21" s="43">
        <v>24</v>
      </c>
      <c r="H21" s="43" t="s">
        <v>32</v>
      </c>
      <c r="I21" s="47"/>
      <c r="J21" s="43"/>
      <c r="K21" s="49" t="b">
        <v>0</v>
      </c>
      <c r="L21" s="90"/>
      <c r="M21" s="90"/>
      <c r="N21" s="101"/>
      <c r="O21" s="48"/>
      <c r="P21" s="43" t="s">
        <v>34</v>
      </c>
      <c r="Q21" s="43" t="s">
        <v>65</v>
      </c>
      <c r="R21" s="49" t="b">
        <v>1</v>
      </c>
      <c r="S21" s="50" t="b">
        <v>1</v>
      </c>
      <c r="T21" s="43"/>
      <c r="U21" s="43"/>
      <c r="V21" s="43"/>
    </row>
    <row r="22" spans="1:22">
      <c r="A22" s="43" t="s">
        <v>88</v>
      </c>
      <c r="B22" s="43" t="s">
        <v>89</v>
      </c>
      <c r="C22" s="52">
        <v>46157</v>
      </c>
      <c r="D22" s="45">
        <v>4017.5</v>
      </c>
      <c r="E22" s="43" t="s">
        <v>81</v>
      </c>
      <c r="F22" s="43" t="s">
        <v>31</v>
      </c>
      <c r="G22" s="43">
        <v>30</v>
      </c>
      <c r="H22" s="43" t="s">
        <v>32</v>
      </c>
      <c r="I22" s="47" t="s">
        <v>73</v>
      </c>
      <c r="J22" s="43"/>
      <c r="K22" s="49" t="b">
        <v>0</v>
      </c>
      <c r="L22" s="90"/>
      <c r="M22" s="90"/>
      <c r="N22" s="101"/>
      <c r="O22" s="48"/>
      <c r="P22" s="43"/>
      <c r="Q22" s="43"/>
      <c r="R22" s="49" t="b">
        <v>1</v>
      </c>
      <c r="S22" s="50" t="b">
        <v>1</v>
      </c>
      <c r="T22" s="43"/>
      <c r="U22" s="43"/>
      <c r="V22" s="43"/>
    </row>
    <row r="23" spans="1:22">
      <c r="A23" s="43" t="s">
        <v>90</v>
      </c>
      <c r="B23" s="43" t="s">
        <v>91</v>
      </c>
      <c r="C23" s="52">
        <v>46204</v>
      </c>
      <c r="D23" s="45">
        <v>5700</v>
      </c>
      <c r="E23" s="43" t="s">
        <v>81</v>
      </c>
      <c r="F23" s="43" t="s">
        <v>43</v>
      </c>
      <c r="G23" s="43">
        <v>60</v>
      </c>
      <c r="H23" s="43" t="s">
        <v>32</v>
      </c>
      <c r="I23" s="47"/>
      <c r="J23" s="51"/>
      <c r="K23" s="49" t="b">
        <v>0</v>
      </c>
      <c r="L23" s="90"/>
      <c r="M23" s="90"/>
      <c r="N23" s="101"/>
      <c r="O23" s="48"/>
      <c r="P23" s="43" t="s">
        <v>92</v>
      </c>
      <c r="Q23" s="103" t="s">
        <v>93</v>
      </c>
      <c r="R23" s="49" t="b">
        <v>0</v>
      </c>
      <c r="S23" s="50" t="b">
        <v>1</v>
      </c>
      <c r="T23" s="43"/>
      <c r="U23" s="43"/>
      <c r="V23" s="43"/>
    </row>
    <row r="24" spans="1:22">
      <c r="A24" s="43" t="s">
        <v>94</v>
      </c>
      <c r="B24" s="43" t="s">
        <v>95</v>
      </c>
      <c r="C24" s="52">
        <v>46203</v>
      </c>
      <c r="D24" s="45">
        <v>4314</v>
      </c>
      <c r="E24" s="43" t="s">
        <v>81</v>
      </c>
      <c r="F24" s="43" t="s">
        <v>31</v>
      </c>
      <c r="G24" s="43">
        <v>39</v>
      </c>
      <c r="H24" s="43" t="s">
        <v>32</v>
      </c>
      <c r="I24" s="47" t="s">
        <v>45</v>
      </c>
      <c r="J24" s="51">
        <v>46070</v>
      </c>
      <c r="K24" s="49" t="b">
        <v>0</v>
      </c>
      <c r="L24" s="90"/>
      <c r="M24" s="90"/>
      <c r="N24" s="96"/>
      <c r="O24" s="48"/>
      <c r="P24" s="43" t="s">
        <v>96</v>
      </c>
      <c r="Q24" s="103" t="s">
        <v>97</v>
      </c>
      <c r="R24" s="49" t="b">
        <v>1</v>
      </c>
      <c r="S24" s="50" t="b">
        <v>1</v>
      </c>
      <c r="T24" s="43"/>
      <c r="U24" s="43"/>
      <c r="V24" s="43"/>
    </row>
    <row r="25" spans="1:22">
      <c r="A25" s="43" t="s">
        <v>98</v>
      </c>
      <c r="B25" s="43" t="s">
        <v>99</v>
      </c>
      <c r="C25" s="43" t="s">
        <v>100</v>
      </c>
      <c r="D25" s="45">
        <v>3999</v>
      </c>
      <c r="E25" s="43" t="s">
        <v>81</v>
      </c>
      <c r="F25" s="43" t="s">
        <v>101</v>
      </c>
      <c r="G25" s="43">
        <v>40</v>
      </c>
      <c r="H25" s="43" t="s">
        <v>102</v>
      </c>
      <c r="I25" s="47"/>
      <c r="J25" s="51"/>
      <c r="K25" s="49" t="b">
        <v>0</v>
      </c>
      <c r="L25" s="90"/>
      <c r="M25" s="90"/>
      <c r="N25" s="101"/>
      <c r="O25" s="48" t="s">
        <v>39</v>
      </c>
      <c r="P25" s="43"/>
      <c r="Q25" s="43"/>
      <c r="R25" s="49" t="b">
        <v>0</v>
      </c>
      <c r="S25" s="50" t="b">
        <v>0</v>
      </c>
      <c r="T25" s="43"/>
      <c r="U25" s="43"/>
      <c r="V25" s="43"/>
    </row>
    <row r="26" spans="1:22">
      <c r="A26" s="43" t="s">
        <v>103</v>
      </c>
      <c r="B26" s="43" t="s">
        <v>104</v>
      </c>
      <c r="C26" s="51">
        <v>47483</v>
      </c>
      <c r="D26" s="45">
        <v>7000</v>
      </c>
      <c r="E26" s="43" t="s">
        <v>81</v>
      </c>
      <c r="F26" s="43" t="s">
        <v>31</v>
      </c>
      <c r="G26" s="43">
        <v>11</v>
      </c>
      <c r="H26" s="43" t="s">
        <v>105</v>
      </c>
      <c r="I26" s="47"/>
      <c r="J26" s="43"/>
      <c r="K26" s="49" t="b">
        <v>0</v>
      </c>
      <c r="L26" s="90"/>
      <c r="M26" s="90">
        <v>46104</v>
      </c>
      <c r="N26" s="101"/>
      <c r="O26" s="48" t="s">
        <v>48</v>
      </c>
      <c r="P26" s="43"/>
      <c r="Q26" s="43"/>
      <c r="R26" s="49" t="b">
        <v>1</v>
      </c>
      <c r="S26" s="50" t="b">
        <v>1</v>
      </c>
      <c r="T26" s="43"/>
      <c r="U26" s="43"/>
      <c r="V26" s="43"/>
    </row>
    <row r="27" spans="1:22">
      <c r="A27" s="43" t="s">
        <v>106</v>
      </c>
      <c r="B27" s="43" t="s">
        <v>106</v>
      </c>
      <c r="C27" s="52">
        <v>46203</v>
      </c>
      <c r="D27" s="45">
        <v>5730</v>
      </c>
      <c r="E27" s="43" t="s">
        <v>81</v>
      </c>
      <c r="F27" s="43" t="s">
        <v>38</v>
      </c>
      <c r="G27" s="43">
        <v>49</v>
      </c>
      <c r="H27" s="43" t="s">
        <v>105</v>
      </c>
      <c r="I27" s="47"/>
      <c r="J27" s="51">
        <v>46085</v>
      </c>
      <c r="K27" s="49" t="b">
        <v>0</v>
      </c>
      <c r="L27" s="90"/>
      <c r="M27" s="90">
        <v>46104</v>
      </c>
      <c r="N27" s="96"/>
      <c r="O27" s="48" t="s">
        <v>48</v>
      </c>
      <c r="P27" s="43"/>
      <c r="Q27" s="43"/>
      <c r="R27" s="49" t="b">
        <v>1</v>
      </c>
      <c r="S27" s="50" t="b">
        <v>1</v>
      </c>
      <c r="T27" s="43"/>
      <c r="U27" s="43"/>
      <c r="V27" s="43"/>
    </row>
    <row r="28" spans="1:22">
      <c r="A28" s="43" t="s">
        <v>107</v>
      </c>
      <c r="B28" s="43" t="s">
        <v>108</v>
      </c>
      <c r="C28" s="53">
        <v>45303</v>
      </c>
      <c r="D28" s="45">
        <v>3967</v>
      </c>
      <c r="E28" s="43" t="s">
        <v>81</v>
      </c>
      <c r="F28" s="43" t="s">
        <v>38</v>
      </c>
      <c r="G28" s="43">
        <v>25</v>
      </c>
      <c r="H28" s="59" t="s">
        <v>84</v>
      </c>
      <c r="I28" s="47"/>
      <c r="J28" s="43"/>
      <c r="K28" s="49" t="b">
        <v>0</v>
      </c>
      <c r="L28" s="90"/>
      <c r="M28" s="90"/>
      <c r="N28" s="96"/>
      <c r="O28" s="48"/>
      <c r="P28" s="43" t="s">
        <v>92</v>
      </c>
      <c r="Q28" s="103" t="s">
        <v>109</v>
      </c>
      <c r="R28" s="49" t="b">
        <v>0</v>
      </c>
      <c r="S28" s="50" t="b">
        <v>1</v>
      </c>
      <c r="T28" s="43"/>
      <c r="U28" s="43"/>
      <c r="V28" s="43"/>
    </row>
    <row r="29" spans="1:22">
      <c r="A29" s="43" t="s">
        <v>110</v>
      </c>
      <c r="B29" s="43" t="s">
        <v>111</v>
      </c>
      <c r="C29" s="51">
        <v>46752</v>
      </c>
      <c r="D29" s="45">
        <v>4905</v>
      </c>
      <c r="E29" s="43" t="s">
        <v>81</v>
      </c>
      <c r="F29" s="43" t="s">
        <v>38</v>
      </c>
      <c r="G29" s="43">
        <v>45</v>
      </c>
      <c r="H29" s="43" t="s">
        <v>32</v>
      </c>
      <c r="I29" s="47"/>
      <c r="J29" s="43"/>
      <c r="K29" s="49" t="b">
        <v>0</v>
      </c>
      <c r="L29" s="90"/>
      <c r="M29" s="90"/>
      <c r="N29" s="101"/>
      <c r="O29" s="48"/>
      <c r="P29" s="43" t="s">
        <v>92</v>
      </c>
      <c r="Q29" s="43" t="s">
        <v>65</v>
      </c>
      <c r="R29" s="49" t="b">
        <v>0</v>
      </c>
      <c r="S29" s="50" t="b">
        <v>1</v>
      </c>
      <c r="T29" s="43"/>
      <c r="U29" s="43"/>
      <c r="V29" s="43"/>
    </row>
    <row r="30" spans="1:22">
      <c r="A30" s="43" t="s">
        <v>112</v>
      </c>
      <c r="B30" s="43" t="s">
        <v>113</v>
      </c>
      <c r="C30" s="52">
        <v>46177</v>
      </c>
      <c r="D30" s="45">
        <v>8370</v>
      </c>
      <c r="E30" s="43" t="s">
        <v>81</v>
      </c>
      <c r="F30" s="43" t="s">
        <v>38</v>
      </c>
      <c r="G30" s="43">
        <v>60</v>
      </c>
      <c r="H30" s="43" t="s">
        <v>32</v>
      </c>
      <c r="I30" s="47"/>
      <c r="J30" s="43"/>
      <c r="K30" s="49" t="b">
        <v>0</v>
      </c>
      <c r="L30" s="90"/>
      <c r="M30" s="90"/>
      <c r="N30" s="96"/>
      <c r="O30" s="48" t="s">
        <v>48</v>
      </c>
      <c r="P30" s="43" t="s">
        <v>114</v>
      </c>
      <c r="Q30" s="43" t="s">
        <v>68</v>
      </c>
      <c r="R30" s="49" t="b">
        <v>1</v>
      </c>
      <c r="S30" s="50" t="b">
        <v>1</v>
      </c>
      <c r="T30" s="43"/>
      <c r="U30" s="43"/>
      <c r="V30" s="43"/>
    </row>
    <row r="31" spans="1:22">
      <c r="A31" s="43" t="s">
        <v>115</v>
      </c>
      <c r="B31" s="43" t="s">
        <v>116</v>
      </c>
      <c r="C31" s="52" t="s">
        <v>100</v>
      </c>
      <c r="D31" s="45">
        <v>2800</v>
      </c>
      <c r="E31" s="43" t="s">
        <v>117</v>
      </c>
      <c r="F31" s="43" t="s">
        <v>43</v>
      </c>
      <c r="G31" s="43">
        <v>11</v>
      </c>
      <c r="H31" s="43" t="s">
        <v>32</v>
      </c>
      <c r="I31" s="47"/>
      <c r="J31" s="51">
        <v>46065</v>
      </c>
      <c r="K31" s="49" t="b">
        <v>1</v>
      </c>
      <c r="L31" s="90">
        <v>46070</v>
      </c>
      <c r="M31" s="90"/>
      <c r="N31" s="96"/>
      <c r="O31" s="43"/>
      <c r="P31" s="43" t="s">
        <v>118</v>
      </c>
      <c r="Q31" s="43" t="s">
        <v>65</v>
      </c>
      <c r="R31" s="49" t="b">
        <v>0</v>
      </c>
      <c r="S31" s="50" t="b">
        <v>1</v>
      </c>
      <c r="T31" s="43"/>
      <c r="U31" s="43"/>
      <c r="V31" s="43"/>
    </row>
    <row r="32" spans="1:22">
      <c r="A32" s="43" t="s">
        <v>119</v>
      </c>
      <c r="B32" s="60" t="s">
        <v>120</v>
      </c>
      <c r="C32" s="53">
        <v>45991</v>
      </c>
      <c r="D32" s="45">
        <v>4120</v>
      </c>
      <c r="E32" s="43" t="s">
        <v>81</v>
      </c>
      <c r="F32" s="43" t="s">
        <v>31</v>
      </c>
      <c r="G32" s="43">
        <v>38</v>
      </c>
      <c r="H32" s="59" t="s">
        <v>84</v>
      </c>
      <c r="I32" s="47" t="s">
        <v>45</v>
      </c>
      <c r="J32" s="51"/>
      <c r="K32" s="49" t="b">
        <v>0</v>
      </c>
      <c r="L32" s="90">
        <v>46042</v>
      </c>
      <c r="M32" s="90"/>
      <c r="N32" s="96"/>
      <c r="O32" s="48" t="s">
        <v>39</v>
      </c>
      <c r="P32" s="43" t="s">
        <v>92</v>
      </c>
      <c r="Q32" s="103" t="s">
        <v>121</v>
      </c>
      <c r="R32" s="49" t="b">
        <v>0</v>
      </c>
      <c r="S32" s="50" t="b">
        <v>0</v>
      </c>
      <c r="T32" s="43"/>
      <c r="U32" s="43"/>
      <c r="V32" s="43"/>
    </row>
    <row r="33" spans="1:22">
      <c r="A33" s="43" t="s">
        <v>122</v>
      </c>
      <c r="B33" s="43" t="s">
        <v>123</v>
      </c>
      <c r="C33" s="52">
        <v>46113</v>
      </c>
      <c r="D33" s="45">
        <v>3465</v>
      </c>
      <c r="E33" s="43" t="s">
        <v>81</v>
      </c>
      <c r="F33" s="43" t="s">
        <v>101</v>
      </c>
      <c r="G33" s="43">
        <v>34</v>
      </c>
      <c r="H33" s="43" t="s">
        <v>105</v>
      </c>
      <c r="I33" s="47"/>
      <c r="J33" s="43"/>
      <c r="K33" s="49" t="b">
        <v>0</v>
      </c>
      <c r="L33" s="90"/>
      <c r="M33" s="90"/>
      <c r="N33" s="96"/>
      <c r="O33" s="48"/>
      <c r="P33" s="61"/>
      <c r="Q33" s="43"/>
      <c r="R33" s="49" t="b">
        <v>1</v>
      </c>
      <c r="S33" s="50" t="b">
        <v>1</v>
      </c>
      <c r="T33" s="43"/>
      <c r="U33" s="43"/>
      <c r="V33" s="43"/>
    </row>
    <row r="34" spans="1:22">
      <c r="A34" s="43" t="s">
        <v>124</v>
      </c>
      <c r="B34" s="43" t="s">
        <v>125</v>
      </c>
      <c r="C34" s="51">
        <v>46446</v>
      </c>
      <c r="D34" s="45">
        <v>6650</v>
      </c>
      <c r="E34" s="43" t="s">
        <v>81</v>
      </c>
      <c r="F34" s="43" t="s">
        <v>31</v>
      </c>
      <c r="G34" s="43">
        <v>88</v>
      </c>
      <c r="H34" s="43" t="s">
        <v>32</v>
      </c>
      <c r="I34" s="47"/>
      <c r="J34" s="43"/>
      <c r="K34" s="49" t="b">
        <v>0</v>
      </c>
      <c r="L34" s="90"/>
      <c r="M34" s="90"/>
      <c r="N34" s="101"/>
      <c r="O34" s="48" t="s">
        <v>39</v>
      </c>
      <c r="P34" s="43" t="s">
        <v>92</v>
      </c>
      <c r="Q34" s="43" t="s">
        <v>65</v>
      </c>
      <c r="R34" s="49" t="b">
        <v>1</v>
      </c>
      <c r="S34" s="50" t="b">
        <v>1</v>
      </c>
      <c r="T34" s="43"/>
      <c r="U34" s="43"/>
      <c r="V34" s="43"/>
    </row>
    <row r="35" spans="1:22">
      <c r="A35" s="43" t="s">
        <v>126</v>
      </c>
      <c r="B35" s="43" t="s">
        <v>127</v>
      </c>
      <c r="C35" s="51">
        <v>46813</v>
      </c>
      <c r="D35" s="45">
        <v>4577.5</v>
      </c>
      <c r="E35" s="43" t="s">
        <v>81</v>
      </c>
      <c r="F35" s="43" t="s">
        <v>38</v>
      </c>
      <c r="G35" s="43">
        <v>30</v>
      </c>
      <c r="H35" s="43" t="s">
        <v>32</v>
      </c>
      <c r="I35" s="47"/>
      <c r="J35" s="43"/>
      <c r="K35" s="49" t="b">
        <v>0</v>
      </c>
      <c r="L35" s="90"/>
      <c r="M35" s="90"/>
      <c r="N35" s="101"/>
      <c r="O35" s="48"/>
      <c r="P35" s="43" t="s">
        <v>92</v>
      </c>
      <c r="Q35" s="43"/>
      <c r="R35" s="49" t="b">
        <v>1</v>
      </c>
      <c r="S35" s="50" t="b">
        <v>1</v>
      </c>
      <c r="T35" s="43"/>
      <c r="U35" s="43"/>
      <c r="V35" s="43"/>
    </row>
    <row r="36" spans="1:22">
      <c r="A36" s="123"/>
      <c r="B36" s="124"/>
      <c r="C36" s="124"/>
      <c r="D36" s="124"/>
      <c r="E36" s="124"/>
      <c r="F36" s="124"/>
      <c r="G36" s="124"/>
      <c r="H36" s="124"/>
      <c r="I36" s="124"/>
      <c r="J36" s="124"/>
      <c r="K36" s="124"/>
      <c r="L36" s="125"/>
      <c r="M36" s="124"/>
      <c r="N36" s="124"/>
      <c r="O36" s="124"/>
      <c r="P36" s="124"/>
      <c r="Q36" s="124"/>
      <c r="R36" s="124"/>
      <c r="S36" s="124"/>
      <c r="T36" s="124"/>
      <c r="U36" s="124"/>
      <c r="V36" s="126"/>
    </row>
    <row r="37" spans="1:22">
      <c r="A37" s="73" t="s">
        <v>117</v>
      </c>
      <c r="B37" s="114"/>
      <c r="C37" s="115"/>
      <c r="D37" s="115"/>
      <c r="E37" s="115"/>
      <c r="F37" s="115"/>
      <c r="G37" s="115"/>
      <c r="H37" s="115"/>
      <c r="I37" s="115"/>
      <c r="J37" s="115"/>
      <c r="K37" s="115"/>
      <c r="L37" s="116"/>
      <c r="M37" s="115"/>
      <c r="N37" s="115"/>
      <c r="O37" s="115"/>
      <c r="P37" s="115"/>
      <c r="Q37" s="115"/>
      <c r="R37" s="115"/>
      <c r="S37" s="115"/>
      <c r="T37" s="115"/>
      <c r="U37" s="115"/>
      <c r="V37" s="117"/>
    </row>
    <row r="38" spans="1:22">
      <c r="A38" s="43" t="s">
        <v>128</v>
      </c>
      <c r="B38" s="43" t="s">
        <v>129</v>
      </c>
      <c r="C38" s="51">
        <v>46446</v>
      </c>
      <c r="D38" s="45">
        <v>2100</v>
      </c>
      <c r="E38" s="43" t="s">
        <v>117</v>
      </c>
      <c r="F38" s="43" t="s">
        <v>101</v>
      </c>
      <c r="G38" s="43">
        <v>25</v>
      </c>
      <c r="H38" s="43" t="s">
        <v>32</v>
      </c>
      <c r="I38" s="47"/>
      <c r="J38" s="51">
        <v>46072</v>
      </c>
      <c r="K38" s="49" t="b">
        <v>0</v>
      </c>
      <c r="L38" s="90"/>
      <c r="M38" s="90"/>
      <c r="N38" s="101"/>
      <c r="O38" s="48"/>
      <c r="P38" s="43" t="s">
        <v>92</v>
      </c>
      <c r="Q38" s="43" t="s">
        <v>65</v>
      </c>
      <c r="R38" s="49" t="b">
        <v>0</v>
      </c>
      <c r="S38" s="50" t="b">
        <v>0</v>
      </c>
      <c r="T38" s="43"/>
      <c r="U38" s="43"/>
      <c r="V38" s="43"/>
    </row>
    <row r="39" spans="1:22">
      <c r="A39" s="43" t="s">
        <v>130</v>
      </c>
      <c r="B39" s="43" t="s">
        <v>131</v>
      </c>
      <c r="C39" s="53">
        <v>44936</v>
      </c>
      <c r="D39" s="45">
        <v>450</v>
      </c>
      <c r="E39" s="43" t="s">
        <v>117</v>
      </c>
      <c r="F39" s="43" t="s">
        <v>101</v>
      </c>
      <c r="G39" s="43">
        <v>3</v>
      </c>
      <c r="H39" s="59" t="s">
        <v>84</v>
      </c>
      <c r="I39" s="47"/>
      <c r="J39" s="43"/>
      <c r="K39" s="49" t="b">
        <v>0</v>
      </c>
      <c r="L39" s="90"/>
      <c r="M39" s="90"/>
      <c r="N39" s="101"/>
      <c r="O39" s="48"/>
      <c r="P39" s="43"/>
      <c r="Q39" s="43"/>
      <c r="R39" s="49" t="b">
        <v>0</v>
      </c>
      <c r="S39" s="50" t="b">
        <v>0</v>
      </c>
      <c r="T39" s="43"/>
      <c r="U39" s="43"/>
      <c r="V39" s="43"/>
    </row>
    <row r="40" spans="1:22">
      <c r="A40" s="43" t="s">
        <v>132</v>
      </c>
      <c r="B40" s="43" t="s">
        <v>133</v>
      </c>
      <c r="C40" s="51">
        <v>46388</v>
      </c>
      <c r="D40" s="45">
        <v>950</v>
      </c>
      <c r="E40" s="43" t="s">
        <v>117</v>
      </c>
      <c r="F40" s="43" t="s">
        <v>101</v>
      </c>
      <c r="G40" s="43">
        <v>3</v>
      </c>
      <c r="H40" s="43" t="s">
        <v>32</v>
      </c>
      <c r="I40" s="47"/>
      <c r="J40" s="43"/>
      <c r="K40" s="49" t="b">
        <v>0</v>
      </c>
      <c r="L40" s="90"/>
      <c r="M40" s="90"/>
      <c r="N40" s="101"/>
      <c r="O40" s="48"/>
      <c r="P40" s="43"/>
      <c r="Q40" s="43"/>
      <c r="R40" s="49" t="b">
        <v>0</v>
      </c>
      <c r="S40" s="50" t="b">
        <v>0</v>
      </c>
      <c r="T40" s="43"/>
      <c r="U40" s="43"/>
      <c r="V40" s="43"/>
    </row>
    <row r="41" spans="1:22">
      <c r="A41" s="43" t="s">
        <v>134</v>
      </c>
      <c r="B41" s="43" t="s">
        <v>135</v>
      </c>
      <c r="C41" s="53">
        <v>45563</v>
      </c>
      <c r="D41" s="63">
        <v>3527</v>
      </c>
      <c r="E41" s="43" t="s">
        <v>117</v>
      </c>
      <c r="F41" s="43" t="s">
        <v>43</v>
      </c>
      <c r="G41" s="43">
        <v>15</v>
      </c>
      <c r="H41" s="59" t="s">
        <v>84</v>
      </c>
      <c r="I41" s="47"/>
      <c r="J41" s="43"/>
      <c r="K41" s="49" t="b">
        <v>0</v>
      </c>
      <c r="L41" s="90"/>
      <c r="M41" s="90"/>
      <c r="N41" s="101"/>
      <c r="O41" s="48"/>
      <c r="P41" s="43"/>
      <c r="Q41" s="43"/>
      <c r="R41" s="49" t="b">
        <v>0</v>
      </c>
      <c r="S41" s="50" t="b">
        <v>1</v>
      </c>
      <c r="T41" s="43"/>
      <c r="U41" s="43"/>
      <c r="V41" s="43"/>
    </row>
    <row r="42" spans="1:22">
      <c r="A42" s="43" t="s">
        <v>136</v>
      </c>
      <c r="B42" s="43" t="s">
        <v>137</v>
      </c>
      <c r="C42" s="64" t="s">
        <v>138</v>
      </c>
      <c r="D42" s="45">
        <v>150</v>
      </c>
      <c r="E42" s="43" t="s">
        <v>117</v>
      </c>
      <c r="F42" s="43" t="s">
        <v>101</v>
      </c>
      <c r="G42" s="43">
        <v>1</v>
      </c>
      <c r="H42" s="59" t="s">
        <v>84</v>
      </c>
      <c r="I42" s="47"/>
      <c r="J42" s="51"/>
      <c r="K42" s="49" t="b">
        <v>0</v>
      </c>
      <c r="L42" s="90"/>
      <c r="M42" s="90"/>
      <c r="N42" s="101"/>
      <c r="O42" s="48"/>
      <c r="P42" s="43"/>
      <c r="Q42" s="43"/>
      <c r="R42" s="49" t="b">
        <v>0</v>
      </c>
      <c r="S42" s="50" t="b">
        <v>0</v>
      </c>
      <c r="T42" s="43"/>
      <c r="U42" s="43"/>
      <c r="V42" s="43"/>
    </row>
    <row r="43" spans="1:22">
      <c r="A43" s="43" t="s">
        <v>139</v>
      </c>
      <c r="B43" s="43" t="s">
        <v>140</v>
      </c>
      <c r="C43" s="51">
        <v>46477</v>
      </c>
      <c r="D43" s="45">
        <v>2562</v>
      </c>
      <c r="E43" s="43" t="s">
        <v>117</v>
      </c>
      <c r="F43" s="43" t="s">
        <v>101</v>
      </c>
      <c r="G43" s="43">
        <v>10</v>
      </c>
      <c r="H43" s="43" t="s">
        <v>32</v>
      </c>
      <c r="I43" s="47"/>
      <c r="J43" s="43"/>
      <c r="K43" s="49" t="b">
        <v>0</v>
      </c>
      <c r="L43" s="90"/>
      <c r="M43" s="90"/>
      <c r="N43" s="101"/>
      <c r="O43" s="48"/>
      <c r="P43" s="43"/>
      <c r="Q43" s="43"/>
      <c r="R43" s="49" t="b">
        <v>0</v>
      </c>
      <c r="S43" s="50" t="b">
        <v>0</v>
      </c>
      <c r="T43" s="43"/>
      <c r="U43" s="43"/>
      <c r="V43" s="43"/>
    </row>
    <row r="44" spans="1:22">
      <c r="A44" s="43" t="s">
        <v>141</v>
      </c>
      <c r="B44" s="43" t="s">
        <v>142</v>
      </c>
      <c r="C44" s="51">
        <v>46446</v>
      </c>
      <c r="D44" s="45">
        <v>1000</v>
      </c>
      <c r="E44" s="43" t="s">
        <v>117</v>
      </c>
      <c r="F44" s="43" t="s">
        <v>101</v>
      </c>
      <c r="G44" s="43">
        <v>10</v>
      </c>
      <c r="H44" s="43" t="s">
        <v>32</v>
      </c>
      <c r="I44" s="47"/>
      <c r="J44" s="51">
        <v>46072</v>
      </c>
      <c r="K44" s="49" t="b">
        <v>0</v>
      </c>
      <c r="L44" s="90"/>
      <c r="M44" s="90"/>
      <c r="N44" s="101"/>
      <c r="O44" s="48"/>
      <c r="P44" s="43"/>
      <c r="Q44" s="43"/>
      <c r="R44" s="49" t="b">
        <v>0</v>
      </c>
      <c r="S44" s="50" t="b">
        <v>0</v>
      </c>
      <c r="T44" s="43"/>
      <c r="U44" s="43"/>
      <c r="V44" s="43"/>
    </row>
    <row r="45" spans="1:22">
      <c r="A45" s="43" t="s">
        <v>143</v>
      </c>
      <c r="B45" s="43" t="s">
        <v>144</v>
      </c>
      <c r="C45" s="52">
        <v>45839</v>
      </c>
      <c r="D45" s="45">
        <v>808</v>
      </c>
      <c r="E45" s="43" t="s">
        <v>117</v>
      </c>
      <c r="F45" s="43" t="s">
        <v>101</v>
      </c>
      <c r="G45" s="43">
        <v>8</v>
      </c>
      <c r="H45" s="43" t="s">
        <v>32</v>
      </c>
      <c r="I45" s="47"/>
      <c r="J45" s="43"/>
      <c r="K45" s="49" t="b">
        <v>0</v>
      </c>
      <c r="L45" s="90"/>
      <c r="M45" s="90"/>
      <c r="N45" s="101"/>
      <c r="O45" s="48"/>
      <c r="P45" s="43"/>
      <c r="Q45" s="43"/>
      <c r="R45" s="49" t="b">
        <v>0</v>
      </c>
      <c r="S45" s="50" t="b">
        <v>0</v>
      </c>
      <c r="T45" s="43"/>
      <c r="U45" s="43"/>
      <c r="V45" s="43"/>
    </row>
    <row r="46" spans="1:22">
      <c r="A46" s="43" t="s">
        <v>145</v>
      </c>
      <c r="B46" s="43" t="s">
        <v>146</v>
      </c>
      <c r="C46" s="64" t="s">
        <v>100</v>
      </c>
      <c r="D46" s="45">
        <v>1015</v>
      </c>
      <c r="E46" s="43" t="s">
        <v>117</v>
      </c>
      <c r="F46" s="43" t="s">
        <v>101</v>
      </c>
      <c r="G46" s="43">
        <v>10</v>
      </c>
      <c r="H46" s="59" t="s">
        <v>84</v>
      </c>
      <c r="I46" s="47"/>
      <c r="J46" s="51">
        <v>46076</v>
      </c>
      <c r="K46" s="49" t="b">
        <v>1</v>
      </c>
      <c r="L46" s="90">
        <v>46080</v>
      </c>
      <c r="M46" s="90"/>
      <c r="N46" s="101"/>
      <c r="O46" s="48"/>
      <c r="P46" s="43"/>
      <c r="Q46" s="43"/>
      <c r="R46" s="49" t="b">
        <v>0</v>
      </c>
      <c r="S46" s="50" t="b">
        <v>0</v>
      </c>
      <c r="T46" s="43"/>
      <c r="U46" s="43"/>
      <c r="V46" s="43"/>
    </row>
    <row r="47" spans="1:22">
      <c r="A47" s="43" t="s">
        <v>147</v>
      </c>
      <c r="B47" s="43" t="s">
        <v>148</v>
      </c>
      <c r="C47" s="51">
        <v>46903</v>
      </c>
      <c r="D47" s="45">
        <v>3000</v>
      </c>
      <c r="E47" s="43" t="s">
        <v>117</v>
      </c>
      <c r="F47" s="43" t="s">
        <v>38</v>
      </c>
      <c r="G47" s="43">
        <v>45</v>
      </c>
      <c r="H47" s="43" t="s">
        <v>32</v>
      </c>
      <c r="I47" s="47"/>
      <c r="J47" s="43"/>
      <c r="K47" s="49" t="b">
        <v>0</v>
      </c>
      <c r="L47" s="90">
        <v>45945</v>
      </c>
      <c r="M47" s="90"/>
      <c r="N47" s="101"/>
      <c r="O47" s="48"/>
      <c r="P47" s="43"/>
      <c r="Q47" s="103" t="s">
        <v>97</v>
      </c>
      <c r="R47" s="49" t="b">
        <v>0</v>
      </c>
      <c r="S47" s="50" t="b">
        <v>0</v>
      </c>
      <c r="T47" s="43"/>
      <c r="U47" s="43"/>
      <c r="V47" s="43"/>
    </row>
    <row r="48" spans="1:22">
      <c r="A48" s="43" t="s">
        <v>149</v>
      </c>
      <c r="B48" s="43" t="s">
        <v>150</v>
      </c>
      <c r="C48" s="64" t="s">
        <v>100</v>
      </c>
      <c r="D48" s="45">
        <v>602</v>
      </c>
      <c r="E48" s="43" t="s">
        <v>117</v>
      </c>
      <c r="F48" s="43" t="s">
        <v>101</v>
      </c>
      <c r="G48" s="43">
        <v>6</v>
      </c>
      <c r="H48" s="59" t="s">
        <v>84</v>
      </c>
      <c r="I48" s="47"/>
      <c r="J48" s="51"/>
      <c r="K48" s="49" t="b">
        <v>0</v>
      </c>
      <c r="L48" s="90"/>
      <c r="M48" s="90"/>
      <c r="N48" s="101"/>
      <c r="O48" s="48"/>
      <c r="P48" s="43"/>
      <c r="Q48" s="43"/>
      <c r="R48" s="49" t="b">
        <v>0</v>
      </c>
      <c r="S48" s="50" t="b">
        <v>0</v>
      </c>
      <c r="T48" s="43"/>
      <c r="U48" s="43"/>
      <c r="V48" s="43"/>
    </row>
    <row r="49" spans="1:22">
      <c r="A49" s="43" t="s">
        <v>151</v>
      </c>
      <c r="B49" s="43" t="s">
        <v>152</v>
      </c>
      <c r="C49" s="64"/>
      <c r="D49" s="45">
        <v>337</v>
      </c>
      <c r="E49" s="43"/>
      <c r="F49" s="43"/>
      <c r="G49" s="43">
        <v>3</v>
      </c>
      <c r="H49" s="59" t="s">
        <v>102</v>
      </c>
      <c r="I49" s="47"/>
      <c r="J49" s="43"/>
      <c r="K49" s="49" t="b">
        <v>0</v>
      </c>
      <c r="L49" s="90"/>
      <c r="M49" s="90"/>
      <c r="N49" s="101"/>
      <c r="O49" s="48"/>
      <c r="P49" s="43"/>
      <c r="Q49" s="43"/>
      <c r="R49" s="49" t="b">
        <v>0</v>
      </c>
      <c r="S49" s="50" t="b">
        <v>0</v>
      </c>
      <c r="T49" s="43"/>
      <c r="U49" s="43"/>
      <c r="V49" s="43"/>
    </row>
    <row r="50" spans="1:22">
      <c r="A50" s="43" t="s">
        <v>153</v>
      </c>
      <c r="B50" s="60" t="s">
        <v>154</v>
      </c>
      <c r="C50" s="51">
        <v>46387</v>
      </c>
      <c r="D50" s="45">
        <v>2100</v>
      </c>
      <c r="E50" s="43" t="s">
        <v>117</v>
      </c>
      <c r="F50" s="43" t="s">
        <v>31</v>
      </c>
      <c r="G50" s="43">
        <v>24</v>
      </c>
      <c r="H50" s="43" t="s">
        <v>32</v>
      </c>
      <c r="I50" s="47"/>
      <c r="J50" s="51"/>
      <c r="K50" s="49" t="b">
        <v>0</v>
      </c>
      <c r="L50" s="90">
        <v>46044</v>
      </c>
      <c r="M50" s="90"/>
      <c r="N50" s="101"/>
      <c r="O50" s="48"/>
      <c r="P50" s="43"/>
      <c r="Q50" s="43"/>
      <c r="R50" s="49" t="b">
        <v>1</v>
      </c>
      <c r="S50" s="50" t="b">
        <v>1</v>
      </c>
      <c r="T50" s="43"/>
      <c r="U50" s="43"/>
      <c r="V50" s="43"/>
    </row>
    <row r="51" spans="1:22">
      <c r="A51" s="43" t="s">
        <v>155</v>
      </c>
      <c r="B51" s="43" t="s">
        <v>156</v>
      </c>
      <c r="C51" s="53">
        <v>45748</v>
      </c>
      <c r="D51" s="45">
        <v>1465</v>
      </c>
      <c r="E51" s="43" t="s">
        <v>117</v>
      </c>
      <c r="F51" s="43" t="s">
        <v>101</v>
      </c>
      <c r="G51" s="43">
        <v>13</v>
      </c>
      <c r="H51" s="43" t="s">
        <v>32</v>
      </c>
      <c r="I51" s="47"/>
      <c r="J51" s="43"/>
      <c r="K51" s="49" t="b">
        <v>0</v>
      </c>
      <c r="L51" s="90"/>
      <c r="M51" s="90"/>
      <c r="N51" s="101"/>
      <c r="O51" s="48"/>
      <c r="P51" s="43"/>
      <c r="Q51" s="43"/>
      <c r="R51" s="49" t="b">
        <v>0</v>
      </c>
      <c r="S51" s="50" t="b">
        <v>0</v>
      </c>
      <c r="T51" s="43"/>
      <c r="U51" s="43"/>
      <c r="V51" s="43"/>
    </row>
    <row r="52" spans="1:22">
      <c r="A52" s="43" t="s">
        <v>157</v>
      </c>
      <c r="B52" s="43" t="s">
        <v>158</v>
      </c>
      <c r="C52" s="51">
        <v>46904</v>
      </c>
      <c r="D52" s="45">
        <v>1960</v>
      </c>
      <c r="E52" s="43" t="s">
        <v>117</v>
      </c>
      <c r="F52" s="43" t="s">
        <v>31</v>
      </c>
      <c r="G52" s="98">
        <v>11</v>
      </c>
      <c r="H52" s="43" t="s">
        <v>32</v>
      </c>
      <c r="I52" s="47" t="s">
        <v>159</v>
      </c>
      <c r="J52" s="51">
        <v>46073</v>
      </c>
      <c r="K52" s="49" t="b">
        <v>1</v>
      </c>
      <c r="L52" s="90">
        <v>46078</v>
      </c>
      <c r="M52" s="90">
        <v>46078</v>
      </c>
      <c r="N52" s="101"/>
      <c r="O52" s="48"/>
      <c r="P52" s="43"/>
      <c r="Q52" s="43"/>
      <c r="R52" s="49" t="b">
        <v>1</v>
      </c>
      <c r="S52" s="50" t="b">
        <v>1</v>
      </c>
      <c r="T52" s="43"/>
      <c r="U52" s="43"/>
      <c r="V52" s="43"/>
    </row>
    <row r="53" spans="1:22">
      <c r="A53" s="43" t="s">
        <v>160</v>
      </c>
      <c r="B53" s="43" t="s">
        <v>161</v>
      </c>
      <c r="C53" s="64" t="s">
        <v>100</v>
      </c>
      <c r="D53" s="45">
        <v>75</v>
      </c>
      <c r="E53" s="43" t="s">
        <v>117</v>
      </c>
      <c r="F53" s="43" t="s">
        <v>31</v>
      </c>
      <c r="G53" s="43">
        <v>1</v>
      </c>
      <c r="H53" s="59" t="s">
        <v>84</v>
      </c>
      <c r="I53" s="47"/>
      <c r="J53" s="43"/>
      <c r="K53" s="49" t="b">
        <v>0</v>
      </c>
      <c r="L53" s="90"/>
      <c r="M53" s="90"/>
      <c r="N53" s="101"/>
      <c r="O53" s="48"/>
      <c r="P53" s="43"/>
      <c r="Q53" s="43"/>
      <c r="R53" s="49" t="b">
        <v>0</v>
      </c>
      <c r="S53" s="50" t="b">
        <v>0</v>
      </c>
      <c r="T53" s="43"/>
      <c r="U53" s="43"/>
      <c r="V53" s="43"/>
    </row>
    <row r="54" spans="1:22">
      <c r="A54" s="43" t="s">
        <v>162</v>
      </c>
      <c r="B54" s="43" t="s">
        <v>163</v>
      </c>
      <c r="C54" s="51">
        <v>46538</v>
      </c>
      <c r="D54" s="45">
        <v>950</v>
      </c>
      <c r="E54" s="43" t="s">
        <v>117</v>
      </c>
      <c r="F54" s="43" t="s">
        <v>31</v>
      </c>
      <c r="G54" s="43">
        <v>0</v>
      </c>
      <c r="H54" s="59" t="s">
        <v>102</v>
      </c>
      <c r="I54" s="47"/>
      <c r="J54" s="43"/>
      <c r="K54" s="49" t="b">
        <v>0</v>
      </c>
      <c r="L54" s="90"/>
      <c r="M54" s="90"/>
      <c r="N54" s="101"/>
      <c r="O54" s="48"/>
      <c r="P54" s="43"/>
      <c r="Q54" s="43"/>
      <c r="R54" s="49" t="b">
        <v>0</v>
      </c>
      <c r="S54" s="50" t="b">
        <v>0</v>
      </c>
      <c r="T54" s="43"/>
      <c r="U54" s="43"/>
      <c r="V54" s="43"/>
    </row>
    <row r="55" spans="1:22">
      <c r="A55" s="43" t="s">
        <v>164</v>
      </c>
      <c r="B55" s="43" t="s">
        <v>165</v>
      </c>
      <c r="C55" s="51">
        <v>46811</v>
      </c>
      <c r="D55" s="45">
        <v>1881.75</v>
      </c>
      <c r="E55" s="43" t="s">
        <v>117</v>
      </c>
      <c r="F55" s="43" t="s">
        <v>101</v>
      </c>
      <c r="G55" s="43">
        <v>7</v>
      </c>
      <c r="H55" s="43" t="s">
        <v>32</v>
      </c>
      <c r="I55" s="47"/>
      <c r="J55" s="43"/>
      <c r="K55" s="49" t="b">
        <v>0</v>
      </c>
      <c r="L55" s="90"/>
      <c r="M55" s="90"/>
      <c r="N55" s="101"/>
      <c r="O55" s="48"/>
      <c r="P55" s="43"/>
      <c r="Q55" s="43"/>
      <c r="R55" s="49" t="b">
        <v>0</v>
      </c>
      <c r="S55" s="50" t="b">
        <v>0</v>
      </c>
      <c r="T55" s="43"/>
      <c r="U55" s="43"/>
      <c r="V55" s="43"/>
    </row>
    <row r="56" spans="1:22">
      <c r="A56" s="43" t="s">
        <v>166</v>
      </c>
      <c r="B56" s="43" t="s">
        <v>167</v>
      </c>
      <c r="C56" s="51">
        <v>46965</v>
      </c>
      <c r="D56" s="45">
        <v>1700</v>
      </c>
      <c r="E56" s="43" t="s">
        <v>117</v>
      </c>
      <c r="F56" s="43" t="s">
        <v>43</v>
      </c>
      <c r="G56" s="43">
        <v>5</v>
      </c>
      <c r="H56" s="43" t="s">
        <v>32</v>
      </c>
      <c r="I56" s="47"/>
      <c r="J56" s="43"/>
      <c r="K56" s="49" t="b">
        <v>0</v>
      </c>
      <c r="L56" s="90"/>
      <c r="M56" s="90"/>
      <c r="N56" s="101"/>
      <c r="O56" s="48"/>
      <c r="P56" s="43"/>
      <c r="Q56" s="43"/>
      <c r="R56" s="49" t="b">
        <v>0</v>
      </c>
      <c r="S56" s="50" t="b">
        <v>1</v>
      </c>
      <c r="T56" s="43"/>
      <c r="U56" s="43"/>
      <c r="V56" s="43"/>
    </row>
    <row r="57" spans="1:22">
      <c r="A57" s="123"/>
      <c r="B57" s="124"/>
      <c r="C57" s="124"/>
      <c r="D57" s="124"/>
      <c r="E57" s="124"/>
      <c r="F57" s="124"/>
      <c r="G57" s="124"/>
      <c r="H57" s="124"/>
      <c r="I57" s="124"/>
      <c r="J57" s="124"/>
      <c r="K57" s="124"/>
      <c r="L57" s="125"/>
      <c r="M57" s="124"/>
      <c r="N57" s="124"/>
      <c r="O57" s="124"/>
      <c r="P57" s="124"/>
      <c r="Q57" s="124"/>
      <c r="R57" s="124"/>
      <c r="S57" s="124"/>
      <c r="T57" s="124"/>
      <c r="U57" s="124"/>
      <c r="V57" s="126"/>
    </row>
    <row r="58" spans="1:22">
      <c r="A58" s="73" t="s">
        <v>168</v>
      </c>
      <c r="B58" s="114"/>
      <c r="C58" s="115"/>
      <c r="D58" s="115"/>
      <c r="E58" s="115"/>
      <c r="F58" s="115"/>
      <c r="G58" s="115"/>
      <c r="H58" s="115"/>
      <c r="I58" s="115"/>
      <c r="J58" s="115"/>
      <c r="K58" s="115"/>
      <c r="L58" s="116"/>
      <c r="M58" s="115"/>
      <c r="N58" s="115"/>
      <c r="O58" s="115"/>
      <c r="P58" s="115"/>
      <c r="Q58" s="115"/>
      <c r="R58" s="115"/>
      <c r="S58" s="115"/>
      <c r="T58" s="115"/>
      <c r="U58" s="115"/>
      <c r="V58" s="117"/>
    </row>
    <row r="59" spans="1:22">
      <c r="A59" s="43" t="s">
        <v>169</v>
      </c>
      <c r="B59" s="43" t="s">
        <v>170</v>
      </c>
      <c r="C59" s="43" t="s">
        <v>100</v>
      </c>
      <c r="D59" s="45">
        <v>1300</v>
      </c>
      <c r="E59" s="43" t="s">
        <v>117</v>
      </c>
      <c r="F59" s="43" t="s">
        <v>101</v>
      </c>
      <c r="G59" s="43">
        <v>0</v>
      </c>
      <c r="H59" s="43"/>
      <c r="I59" s="43"/>
      <c r="J59" s="43"/>
      <c r="K59" s="43"/>
      <c r="L59" s="90"/>
      <c r="M59" s="90"/>
      <c r="N59" s="90"/>
      <c r="O59" s="43"/>
      <c r="P59" s="43"/>
      <c r="Q59" s="43"/>
      <c r="R59" s="62"/>
      <c r="S59" s="43"/>
      <c r="T59" s="43"/>
      <c r="U59" s="43"/>
      <c r="V59" s="43"/>
    </row>
    <row r="60" spans="1:22">
      <c r="A60" s="43" t="s">
        <v>171</v>
      </c>
      <c r="B60" s="43"/>
      <c r="C60" s="43"/>
      <c r="D60" s="45">
        <v>2650</v>
      </c>
      <c r="E60" s="43"/>
      <c r="F60" s="43"/>
      <c r="G60" s="43">
        <v>0</v>
      </c>
      <c r="H60" s="43"/>
      <c r="I60" s="43"/>
      <c r="J60" s="43"/>
      <c r="K60" s="43"/>
      <c r="L60" s="90"/>
      <c r="M60" s="90"/>
      <c r="N60" s="90"/>
      <c r="O60" s="43"/>
      <c r="P60" s="43"/>
      <c r="Q60" s="43"/>
      <c r="R60" s="62"/>
      <c r="S60" s="43"/>
      <c r="T60" s="43"/>
      <c r="U60" s="43"/>
      <c r="V60" s="43"/>
    </row>
    <row r="61" spans="1:22">
      <c r="A61" s="43" t="s">
        <v>172</v>
      </c>
      <c r="B61" s="43"/>
      <c r="C61" s="43"/>
      <c r="D61" s="45">
        <v>370</v>
      </c>
      <c r="E61" s="43"/>
      <c r="F61" s="43"/>
      <c r="G61" s="43">
        <v>0</v>
      </c>
      <c r="H61" s="43"/>
      <c r="I61" s="43"/>
      <c r="J61" s="43"/>
      <c r="K61" s="43"/>
      <c r="L61" s="90"/>
      <c r="M61" s="90"/>
      <c r="N61" s="90"/>
      <c r="O61" s="43"/>
      <c r="P61" s="43"/>
      <c r="Q61" s="43"/>
      <c r="R61" s="62"/>
      <c r="S61" s="43"/>
      <c r="T61" s="43"/>
      <c r="U61" s="43"/>
      <c r="V61" s="43"/>
    </row>
    <row r="62" spans="1:22">
      <c r="A62" s="43" t="s">
        <v>173</v>
      </c>
      <c r="B62" s="43"/>
      <c r="C62" s="43"/>
      <c r="D62" s="45">
        <v>500</v>
      </c>
      <c r="E62" s="43"/>
      <c r="F62" s="43"/>
      <c r="G62" s="43">
        <v>0</v>
      </c>
      <c r="H62" s="43"/>
      <c r="I62" s="43"/>
      <c r="J62" s="43"/>
      <c r="K62" s="43"/>
      <c r="L62" s="90"/>
      <c r="M62" s="90"/>
      <c r="N62" s="90"/>
      <c r="O62" s="43"/>
      <c r="P62" s="43"/>
      <c r="Q62" s="43"/>
      <c r="R62" s="62"/>
      <c r="S62" s="43"/>
      <c r="T62" s="43"/>
      <c r="U62" s="43"/>
      <c r="V62" s="43"/>
    </row>
    <row r="63" spans="1:22">
      <c r="A63" s="43" t="s">
        <v>174</v>
      </c>
      <c r="B63" s="43"/>
      <c r="C63" s="43"/>
      <c r="D63" s="45">
        <v>2150</v>
      </c>
      <c r="E63" s="43"/>
      <c r="F63" s="43"/>
      <c r="G63" s="43">
        <v>0</v>
      </c>
      <c r="H63" s="43"/>
      <c r="I63" s="43"/>
      <c r="J63" s="43"/>
      <c r="K63" s="43"/>
      <c r="L63" s="90"/>
      <c r="M63" s="90"/>
      <c r="N63" s="90"/>
      <c r="O63" s="43"/>
      <c r="P63" s="43"/>
      <c r="Q63" s="43"/>
      <c r="R63" s="62"/>
      <c r="S63" s="43"/>
      <c r="T63" s="43"/>
      <c r="U63" s="43"/>
      <c r="V63" s="43"/>
    </row>
    <row r="64" spans="1:22">
      <c r="A64" s="43" t="s">
        <v>175</v>
      </c>
      <c r="B64" s="43"/>
      <c r="C64" s="43"/>
      <c r="D64" s="45">
        <v>950</v>
      </c>
      <c r="E64" s="43"/>
      <c r="F64" s="43"/>
      <c r="G64" s="43">
        <v>0</v>
      </c>
      <c r="H64" s="43"/>
      <c r="I64" s="43"/>
      <c r="J64" s="43"/>
      <c r="K64" s="43"/>
      <c r="L64" s="90"/>
      <c r="M64" s="90"/>
      <c r="N64" s="90"/>
      <c r="O64" s="43"/>
      <c r="P64" s="43"/>
      <c r="Q64" s="43"/>
      <c r="R64" s="62"/>
      <c r="S64" s="43"/>
      <c r="T64" s="43"/>
      <c r="U64" s="43"/>
      <c r="V64" s="43"/>
    </row>
    <row r="65" spans="1:22">
      <c r="A65" s="43" t="s">
        <v>176</v>
      </c>
      <c r="B65" s="43"/>
      <c r="C65" s="43"/>
      <c r="D65" s="45">
        <v>529</v>
      </c>
      <c r="E65" s="43"/>
      <c r="F65" s="43"/>
      <c r="G65" s="43">
        <v>0</v>
      </c>
      <c r="H65" s="43"/>
      <c r="I65" s="43"/>
      <c r="J65" s="43"/>
      <c r="K65" s="43"/>
      <c r="L65" s="90"/>
      <c r="M65" s="90"/>
      <c r="N65" s="90"/>
      <c r="O65" s="43"/>
      <c r="P65" s="43"/>
      <c r="Q65" s="43"/>
      <c r="R65" s="62"/>
      <c r="S65" s="43"/>
      <c r="T65" s="43"/>
      <c r="U65" s="43"/>
      <c r="V65" s="43"/>
    </row>
    <row r="66" spans="1:22">
      <c r="A66" s="118"/>
      <c r="B66" s="119"/>
      <c r="C66" s="119"/>
      <c r="D66" s="119"/>
      <c r="E66" s="119"/>
      <c r="F66" s="119"/>
      <c r="G66" s="119"/>
      <c r="H66" s="119"/>
      <c r="I66" s="119"/>
      <c r="J66" s="119"/>
      <c r="K66" s="119"/>
      <c r="L66" s="120"/>
      <c r="M66" s="119"/>
      <c r="N66" s="119"/>
      <c r="O66" s="119"/>
      <c r="P66" s="119"/>
      <c r="Q66" s="119"/>
      <c r="R66" s="119"/>
      <c r="S66" s="119"/>
      <c r="T66" s="119"/>
      <c r="U66" s="119"/>
      <c r="V66" s="121"/>
    </row>
    <row r="67" spans="1:22">
      <c r="A67" s="73" t="s">
        <v>177</v>
      </c>
      <c r="B67" s="114"/>
      <c r="C67" s="115"/>
      <c r="D67" s="115"/>
      <c r="E67" s="115"/>
      <c r="F67" s="115"/>
      <c r="G67" s="115"/>
      <c r="H67" s="115"/>
      <c r="I67" s="115"/>
      <c r="J67" s="115"/>
      <c r="K67" s="115"/>
      <c r="L67" s="116"/>
      <c r="M67" s="115"/>
      <c r="N67" s="115"/>
      <c r="O67" s="115"/>
      <c r="P67" s="115"/>
      <c r="Q67" s="115"/>
      <c r="R67" s="115"/>
      <c r="S67" s="115"/>
      <c r="T67" s="115"/>
      <c r="U67" s="115"/>
      <c r="V67" s="117"/>
    </row>
    <row r="68" spans="1:22">
      <c r="A68" s="43" t="s">
        <v>178</v>
      </c>
      <c r="B68" s="43"/>
      <c r="C68" s="43"/>
      <c r="D68" s="45">
        <v>3155</v>
      </c>
      <c r="E68" s="43"/>
      <c r="F68" s="43"/>
      <c r="G68" s="43">
        <v>37</v>
      </c>
      <c r="H68" s="43"/>
      <c r="I68" s="43"/>
      <c r="J68" s="43"/>
      <c r="K68" s="43"/>
      <c r="L68" s="90"/>
      <c r="M68" s="90"/>
      <c r="N68" s="90"/>
      <c r="O68" s="43"/>
      <c r="P68" s="43"/>
      <c r="Q68" s="43"/>
      <c r="R68" s="62"/>
      <c r="S68" s="43"/>
      <c r="T68" s="43"/>
      <c r="U68" s="43"/>
      <c r="V68" s="43"/>
    </row>
    <row r="69" spans="1:22">
      <c r="A69" s="43" t="s">
        <v>179</v>
      </c>
      <c r="B69" s="43"/>
      <c r="C69" s="43"/>
      <c r="D69" s="45"/>
      <c r="E69" s="43"/>
      <c r="F69" s="43"/>
      <c r="G69" s="43"/>
      <c r="H69" s="43"/>
      <c r="I69" s="43"/>
      <c r="J69" s="43"/>
      <c r="K69" s="43"/>
      <c r="L69" s="90"/>
      <c r="M69" s="90"/>
      <c r="N69" s="90"/>
      <c r="O69" s="43"/>
      <c r="P69" s="43"/>
      <c r="Q69" s="43"/>
      <c r="R69" s="62"/>
      <c r="S69" s="43"/>
      <c r="T69" s="43"/>
      <c r="U69" s="43"/>
      <c r="V69" s="43"/>
    </row>
    <row r="70" spans="1:22">
      <c r="A70" s="43" t="s">
        <v>180</v>
      </c>
      <c r="B70" s="43"/>
      <c r="C70" s="43"/>
      <c r="D70" s="45">
        <v>6235</v>
      </c>
      <c r="E70" s="43"/>
      <c r="F70" s="43"/>
      <c r="G70" s="43">
        <v>70</v>
      </c>
      <c r="H70" s="43"/>
      <c r="I70" s="43"/>
      <c r="J70" s="43"/>
      <c r="K70" s="43"/>
      <c r="L70" s="90"/>
      <c r="M70" s="90"/>
      <c r="N70" s="90"/>
      <c r="O70" s="43"/>
      <c r="P70" s="43"/>
      <c r="Q70" s="43"/>
      <c r="R70" s="62"/>
      <c r="S70" s="43"/>
      <c r="T70" s="43"/>
      <c r="U70" s="43"/>
      <c r="V70" s="43"/>
    </row>
    <row r="71" spans="1:22">
      <c r="A71" s="43" t="s">
        <v>181</v>
      </c>
      <c r="B71" s="43"/>
      <c r="C71" s="43"/>
      <c r="D71" s="45">
        <v>4975</v>
      </c>
      <c r="E71" s="43"/>
      <c r="F71" s="43"/>
      <c r="G71" s="43">
        <v>50</v>
      </c>
      <c r="H71" s="43"/>
      <c r="I71" s="43"/>
      <c r="J71" s="43"/>
      <c r="K71" s="43"/>
      <c r="L71" s="90"/>
      <c r="M71" s="90"/>
      <c r="N71" s="90"/>
      <c r="O71" s="43"/>
      <c r="P71" s="43"/>
      <c r="Q71" s="43"/>
      <c r="R71" s="62"/>
      <c r="S71" s="43"/>
      <c r="T71" s="43"/>
      <c r="U71" s="43"/>
      <c r="V71" s="43"/>
    </row>
    <row r="72" spans="1:22" s="12" customFormat="1">
      <c r="A72" s="43" t="s">
        <v>182</v>
      </c>
      <c r="B72" s="43" t="s">
        <v>183</v>
      </c>
      <c r="C72" s="51">
        <v>46387</v>
      </c>
      <c r="D72" s="45">
        <v>3800</v>
      </c>
      <c r="E72" s="43" t="s">
        <v>81</v>
      </c>
      <c r="F72" s="43"/>
      <c r="G72" s="43">
        <v>31</v>
      </c>
      <c r="H72" s="65"/>
      <c r="I72" s="65"/>
      <c r="J72" s="65"/>
      <c r="K72" s="65"/>
      <c r="L72" s="92"/>
      <c r="M72" s="92"/>
      <c r="N72" s="92"/>
      <c r="O72" s="65"/>
      <c r="P72" s="65"/>
      <c r="Q72" s="65"/>
      <c r="R72" s="66"/>
      <c r="S72" s="65"/>
      <c r="T72" s="65"/>
      <c r="U72" s="65"/>
      <c r="V72" s="65"/>
    </row>
    <row r="73" spans="1:22" s="12" customFormat="1">
      <c r="A73" s="118"/>
      <c r="B73" s="119"/>
      <c r="C73" s="119"/>
      <c r="D73" s="119"/>
      <c r="E73" s="119"/>
      <c r="F73" s="119"/>
      <c r="G73" s="119"/>
      <c r="H73" s="119"/>
      <c r="I73" s="119"/>
      <c r="J73" s="119"/>
      <c r="K73" s="119"/>
      <c r="L73" s="120"/>
      <c r="M73" s="119"/>
      <c r="N73" s="119"/>
      <c r="O73" s="119"/>
      <c r="P73" s="119"/>
      <c r="Q73" s="119"/>
      <c r="R73" s="119"/>
      <c r="S73" s="119"/>
      <c r="T73" s="119"/>
      <c r="U73" s="119"/>
      <c r="V73" s="121"/>
    </row>
    <row r="74" spans="1:22">
      <c r="A74" s="74" t="s">
        <v>184</v>
      </c>
      <c r="B74" s="114"/>
      <c r="C74" s="115"/>
      <c r="D74" s="115"/>
      <c r="E74" s="115"/>
      <c r="F74" s="115"/>
      <c r="G74" s="115"/>
      <c r="H74" s="115"/>
      <c r="I74" s="115"/>
      <c r="J74" s="115"/>
      <c r="K74" s="115"/>
      <c r="L74" s="116"/>
      <c r="M74" s="115"/>
      <c r="N74" s="115"/>
      <c r="O74" s="115"/>
      <c r="P74" s="115"/>
      <c r="Q74" s="115"/>
      <c r="R74" s="115"/>
      <c r="S74" s="115"/>
      <c r="T74" s="115"/>
      <c r="U74" s="115"/>
      <c r="V74" s="117"/>
    </row>
    <row r="75" spans="1:22">
      <c r="A75" s="43" t="s">
        <v>185</v>
      </c>
      <c r="B75" s="43" t="s">
        <v>186</v>
      </c>
      <c r="C75" s="43"/>
      <c r="D75" s="43"/>
      <c r="E75" s="43"/>
      <c r="F75" s="64"/>
      <c r="G75" s="43"/>
      <c r="H75" s="43"/>
      <c r="I75" s="43"/>
      <c r="J75" s="43"/>
      <c r="K75" s="43"/>
      <c r="L75" s="90"/>
      <c r="M75" s="90"/>
      <c r="N75" s="90"/>
      <c r="O75" s="43"/>
      <c r="P75" s="43"/>
      <c r="Q75" s="43"/>
      <c r="R75" s="62"/>
      <c r="S75" s="43"/>
      <c r="T75" s="43"/>
      <c r="U75" s="43"/>
      <c r="V75" s="43"/>
    </row>
    <row r="76" spans="1:22">
      <c r="A76" s="43" t="s">
        <v>166</v>
      </c>
      <c r="B76" s="43"/>
      <c r="C76" s="43"/>
      <c r="D76" s="43"/>
      <c r="E76" s="43"/>
      <c r="F76" s="43"/>
      <c r="G76" s="43"/>
      <c r="H76" s="43"/>
      <c r="I76" s="43"/>
      <c r="J76" s="43"/>
      <c r="K76" s="43"/>
      <c r="L76" s="90"/>
      <c r="M76" s="90"/>
      <c r="N76" s="90"/>
      <c r="O76" s="43"/>
      <c r="P76" s="43"/>
      <c r="Q76" s="43"/>
      <c r="R76" s="62"/>
      <c r="S76" s="43"/>
      <c r="T76" s="43"/>
      <c r="U76" s="43"/>
      <c r="V76" s="43"/>
    </row>
    <row r="87" spans="1:22">
      <c r="A87" s="14" t="s">
        <v>187</v>
      </c>
    </row>
    <row r="88" spans="1:22">
      <c r="A88" s="54" t="s">
        <v>188</v>
      </c>
      <c r="B88" s="54" t="s">
        <v>189</v>
      </c>
      <c r="C88" s="55">
        <v>46022</v>
      </c>
      <c r="D88" s="56">
        <v>25534</v>
      </c>
      <c r="E88" s="54" t="s">
        <v>27</v>
      </c>
      <c r="F88" s="54"/>
      <c r="G88" s="54">
        <v>300</v>
      </c>
      <c r="H88" s="54" t="s">
        <v>44</v>
      </c>
      <c r="I88" s="57"/>
      <c r="J88" s="54"/>
      <c r="K88" s="54"/>
      <c r="L88" s="91"/>
      <c r="M88" s="91"/>
      <c r="N88" s="91"/>
      <c r="O88" s="58" t="s">
        <v>190</v>
      </c>
      <c r="P88" s="54"/>
      <c r="Q88" s="43"/>
      <c r="R88" s="49" t="b">
        <v>0</v>
      </c>
      <c r="S88" s="50" t="b">
        <v>0</v>
      </c>
      <c r="T88" s="43"/>
      <c r="U88" s="43"/>
      <c r="V88" s="43"/>
    </row>
  </sheetData>
  <autoFilter ref="F1:F76" xr:uid="{9BEB6619-C296-2F47-A6BF-A0680759401E}"/>
  <mergeCells count="15">
    <mergeCell ref="A73:V73"/>
    <mergeCell ref="B67:V67"/>
    <mergeCell ref="B74:V74"/>
    <mergeCell ref="S15:S16"/>
    <mergeCell ref="A57:V57"/>
    <mergeCell ref="B3:S3"/>
    <mergeCell ref="B19:V19"/>
    <mergeCell ref="B37:V37"/>
    <mergeCell ref="B58:V58"/>
    <mergeCell ref="A66:V66"/>
    <mergeCell ref="O14:O16"/>
    <mergeCell ref="P14:P16"/>
    <mergeCell ref="Q14:Q16"/>
    <mergeCell ref="A36:V36"/>
    <mergeCell ref="A18:V18"/>
  </mergeCells>
  <conditionalFormatting sqref="J4:J17">
    <cfRule type="containsBlanks" dxfId="16" priority="9">
      <formula>LEN(TRIM(J4))=0</formula>
    </cfRule>
  </conditionalFormatting>
  <conditionalFormatting sqref="J20:J35">
    <cfRule type="containsBlanks" dxfId="15" priority="8">
      <formula>LEN(TRIM(J20))=0</formula>
    </cfRule>
  </conditionalFormatting>
  <conditionalFormatting sqref="J38:J56">
    <cfRule type="containsBlanks" dxfId="14" priority="7">
      <formula>LEN(TRIM(J38))=0</formula>
    </cfRule>
  </conditionalFormatting>
  <conditionalFormatting sqref="K4:K17">
    <cfRule type="containsText" dxfId="13" priority="5" operator="containsText" text="FALSE">
      <formula>NOT(ISERROR(SEARCH("FALSE",K4)))</formula>
    </cfRule>
    <cfRule type="containsText" dxfId="12" priority="6" operator="containsText" text="TRUE">
      <formula>NOT(ISERROR(SEARCH("TRUE",K4)))</formula>
    </cfRule>
  </conditionalFormatting>
  <conditionalFormatting sqref="K20:K35">
    <cfRule type="containsText" dxfId="11" priority="3" operator="containsText" text="FALSE">
      <formula>NOT(ISERROR(SEARCH("FALSE",K20)))</formula>
    </cfRule>
    <cfRule type="containsText" dxfId="10" priority="4" operator="containsText" text="TRUE">
      <formula>NOT(ISERROR(SEARCH("TRUE",K20)))</formula>
    </cfRule>
  </conditionalFormatting>
  <conditionalFormatting sqref="K38:K56">
    <cfRule type="containsText" dxfId="9" priority="1" operator="containsText" text="FALSE">
      <formula>NOT(ISERROR(SEARCH("FALSE",K38)))</formula>
    </cfRule>
    <cfRule type="containsText" dxfId="8" priority="2" operator="containsText" text="TRUE">
      <formula>NOT(ISERROR(SEARCH("TRUE",K38)))</formula>
    </cfRule>
  </conditionalFormatting>
  <conditionalFormatting sqref="R4:S13 S14:S15 R14:R17 S17 R88:S88">
    <cfRule type="containsText" dxfId="7" priority="16" operator="containsText" text="FALSE">
      <formula>NOT(ISERROR(SEARCH("FALSE",R4)))</formula>
    </cfRule>
    <cfRule type="containsText" dxfId="6" priority="17" operator="containsText" text="TRUE">
      <formula>NOT(ISERROR(SEARCH("TRUE",R4)))</formula>
    </cfRule>
  </conditionalFormatting>
  <conditionalFormatting sqref="R20:S35 R38:S56">
    <cfRule type="containsText" dxfId="5" priority="10" operator="containsText" text="FALSE">
      <formula>NOT(ISERROR(SEARCH("FALSE",R20)))</formula>
    </cfRule>
    <cfRule type="containsText" dxfId="4" priority="11" operator="containsText" text="TRUE">
      <formula>NOT(ISERROR(SEARCH("TRUE",R20)))</formula>
    </cfRule>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2BC9F-8745-2146-B453-E43A406DDE47}">
  <dimension ref="A1:D56"/>
  <sheetViews>
    <sheetView zoomScale="62" zoomScaleNormal="160" workbookViewId="0">
      <pane ySplit="1" topLeftCell="A34" activePane="bottomLeft" state="frozen"/>
      <selection pane="bottomLeft" activeCell="D34" sqref="D34"/>
    </sheetView>
  </sheetViews>
  <sheetFormatPr defaultColWidth="11" defaultRowHeight="15.95"/>
  <cols>
    <col min="1" max="1" width="18.125" customWidth="1"/>
    <col min="2" max="2" width="36.875" customWidth="1"/>
    <col min="3" max="3" width="10.625" customWidth="1"/>
    <col min="4" max="4" width="33.5" customWidth="1"/>
  </cols>
  <sheetData>
    <row r="1" spans="1:4" s="3" customFormat="1">
      <c r="A1" s="3" t="s">
        <v>0</v>
      </c>
      <c r="B1" s="3" t="s">
        <v>1</v>
      </c>
      <c r="C1" s="3" t="s">
        <v>191</v>
      </c>
      <c r="D1" s="9" t="s">
        <v>192</v>
      </c>
    </row>
    <row r="2" spans="1:4" s="3" customFormat="1">
      <c r="A2" s="3" t="s">
        <v>27</v>
      </c>
    </row>
    <row r="3" spans="1:4">
      <c r="A3" t="s">
        <v>29</v>
      </c>
      <c r="B3" t="s">
        <v>30</v>
      </c>
      <c r="C3" s="4">
        <v>175</v>
      </c>
      <c r="D3" s="4">
        <v>180</v>
      </c>
    </row>
    <row r="4" spans="1:4">
      <c r="A4" t="s">
        <v>36</v>
      </c>
      <c r="B4" t="s">
        <v>37</v>
      </c>
      <c r="C4" s="4">
        <v>150</v>
      </c>
      <c r="D4" s="7" t="s">
        <v>193</v>
      </c>
    </row>
    <row r="5" spans="1:4">
      <c r="A5" t="s">
        <v>41</v>
      </c>
      <c r="B5" t="s">
        <v>42</v>
      </c>
      <c r="C5" s="4">
        <v>155</v>
      </c>
      <c r="D5" s="7" t="s">
        <v>194</v>
      </c>
    </row>
    <row r="6" spans="1:4">
      <c r="A6" t="s">
        <v>46</v>
      </c>
      <c r="B6" t="s">
        <v>47</v>
      </c>
      <c r="C6" s="4">
        <v>175</v>
      </c>
      <c r="D6" s="7" t="s">
        <v>195</v>
      </c>
    </row>
    <row r="7" spans="1:4">
      <c r="A7" t="s">
        <v>51</v>
      </c>
      <c r="B7" t="s">
        <v>52</v>
      </c>
      <c r="C7" s="4">
        <v>175</v>
      </c>
      <c r="D7" s="7" t="s">
        <v>195</v>
      </c>
    </row>
    <row r="8" spans="1:4">
      <c r="A8" t="s">
        <v>53</v>
      </c>
      <c r="B8" t="s">
        <v>54</v>
      </c>
      <c r="C8" s="4">
        <v>175</v>
      </c>
      <c r="D8" s="7" t="s">
        <v>195</v>
      </c>
    </row>
    <row r="9" spans="1:4">
      <c r="A9" t="s">
        <v>58</v>
      </c>
      <c r="B9" t="s">
        <v>59</v>
      </c>
      <c r="C9" s="4">
        <v>165</v>
      </c>
      <c r="D9" s="7" t="s">
        <v>196</v>
      </c>
    </row>
    <row r="10" spans="1:4">
      <c r="A10" t="s">
        <v>62</v>
      </c>
      <c r="B10" t="s">
        <v>63</v>
      </c>
      <c r="C10" s="4">
        <v>165</v>
      </c>
      <c r="D10" s="7" t="s">
        <v>197</v>
      </c>
    </row>
    <row r="11" spans="1:4">
      <c r="A11" t="s">
        <v>66</v>
      </c>
      <c r="B11" t="s">
        <v>67</v>
      </c>
      <c r="C11" s="4">
        <v>175</v>
      </c>
      <c r="D11" s="7" t="s">
        <v>195</v>
      </c>
    </row>
    <row r="12" spans="1:4">
      <c r="A12" t="s">
        <v>69</v>
      </c>
      <c r="B12" t="s">
        <v>70</v>
      </c>
      <c r="C12" s="4">
        <v>165</v>
      </c>
      <c r="D12" s="7" t="s">
        <v>195</v>
      </c>
    </row>
    <row r="13" spans="1:4">
      <c r="A13" t="s">
        <v>188</v>
      </c>
      <c r="B13" t="s">
        <v>189</v>
      </c>
      <c r="C13" s="4">
        <v>125</v>
      </c>
      <c r="D13" s="7" t="s">
        <v>198</v>
      </c>
    </row>
    <row r="14" spans="1:4">
      <c r="A14" t="s">
        <v>82</v>
      </c>
      <c r="B14" t="s">
        <v>83</v>
      </c>
      <c r="C14" s="4">
        <v>155</v>
      </c>
      <c r="D14">
        <v>165</v>
      </c>
    </row>
    <row r="15" spans="1:4">
      <c r="A15" t="s">
        <v>71</v>
      </c>
      <c r="B15" t="s">
        <v>72</v>
      </c>
      <c r="C15" s="4">
        <v>155</v>
      </c>
      <c r="D15">
        <v>165</v>
      </c>
    </row>
    <row r="16" spans="1:4">
      <c r="A16" t="s">
        <v>75</v>
      </c>
      <c r="B16" t="s">
        <v>76</v>
      </c>
      <c r="C16" s="4">
        <v>155</v>
      </c>
      <c r="D16">
        <v>165</v>
      </c>
    </row>
    <row r="17" spans="1:4">
      <c r="A17" t="s">
        <v>77</v>
      </c>
      <c r="B17" t="s">
        <v>78</v>
      </c>
      <c r="C17" s="4">
        <v>155</v>
      </c>
      <c r="D17">
        <v>165</v>
      </c>
    </row>
    <row r="18" spans="1:4">
      <c r="A18" t="s">
        <v>79</v>
      </c>
      <c r="B18" t="s">
        <v>80</v>
      </c>
      <c r="C18" s="4">
        <v>155</v>
      </c>
      <c r="D18">
        <v>165</v>
      </c>
    </row>
    <row r="19" spans="1:4" s="3" customFormat="1">
      <c r="C19" s="5"/>
    </row>
    <row r="20" spans="1:4" s="3" customFormat="1">
      <c r="A20" s="3" t="s">
        <v>81</v>
      </c>
      <c r="C20" s="5"/>
    </row>
    <row r="21" spans="1:4">
      <c r="A21" t="s">
        <v>86</v>
      </c>
      <c r="B21" t="s">
        <v>87</v>
      </c>
      <c r="C21" s="4">
        <v>175</v>
      </c>
      <c r="D21" s="7" t="s">
        <v>195</v>
      </c>
    </row>
    <row r="22" spans="1:4">
      <c r="A22" t="s">
        <v>88</v>
      </c>
      <c r="B22" t="s">
        <v>89</v>
      </c>
      <c r="C22" s="4">
        <v>175</v>
      </c>
      <c r="D22" s="7" t="s">
        <v>195</v>
      </c>
    </row>
    <row r="23" spans="1:4">
      <c r="A23" t="s">
        <v>90</v>
      </c>
      <c r="B23" t="s">
        <v>91</v>
      </c>
      <c r="C23" s="4">
        <v>155</v>
      </c>
      <c r="D23" s="7" t="s">
        <v>195</v>
      </c>
    </row>
    <row r="24" spans="1:4">
      <c r="A24" t="s">
        <v>94</v>
      </c>
      <c r="B24" t="s">
        <v>95</v>
      </c>
      <c r="C24" s="4">
        <v>155</v>
      </c>
      <c r="D24" s="8">
        <v>165</v>
      </c>
    </row>
    <row r="25" spans="1:4">
      <c r="A25" t="s">
        <v>98</v>
      </c>
      <c r="B25" t="s">
        <v>99</v>
      </c>
      <c r="C25" s="4">
        <v>155</v>
      </c>
      <c r="D25" s="8">
        <v>165</v>
      </c>
    </row>
    <row r="26" spans="1:4">
      <c r="A26" t="s">
        <v>103</v>
      </c>
      <c r="B26" t="s">
        <v>104</v>
      </c>
      <c r="C26" s="4">
        <v>175</v>
      </c>
      <c r="D26" s="8" t="s">
        <v>195</v>
      </c>
    </row>
    <row r="27" spans="1:4">
      <c r="A27" t="s">
        <v>106</v>
      </c>
      <c r="B27" t="s">
        <v>199</v>
      </c>
      <c r="C27" s="4">
        <v>145</v>
      </c>
      <c r="D27" s="8">
        <v>155</v>
      </c>
    </row>
    <row r="28" spans="1:4">
      <c r="A28" t="s">
        <v>107</v>
      </c>
      <c r="B28" t="s">
        <v>108</v>
      </c>
      <c r="C28" s="6">
        <v>155</v>
      </c>
      <c r="D28" s="8">
        <v>165</v>
      </c>
    </row>
    <row r="29" spans="1:4">
      <c r="A29" t="s">
        <v>200</v>
      </c>
      <c r="B29" t="s">
        <v>183</v>
      </c>
      <c r="C29" s="6">
        <v>155</v>
      </c>
      <c r="D29" s="8" t="s">
        <v>195</v>
      </c>
    </row>
    <row r="30" spans="1:4">
      <c r="A30" t="s">
        <v>110</v>
      </c>
      <c r="B30" t="s">
        <v>111</v>
      </c>
      <c r="C30" s="6">
        <v>155</v>
      </c>
      <c r="D30" s="8" t="s">
        <v>195</v>
      </c>
    </row>
    <row r="31" spans="1:4">
      <c r="A31" t="s">
        <v>112</v>
      </c>
      <c r="B31" t="s">
        <v>113</v>
      </c>
      <c r="C31" s="6">
        <v>175</v>
      </c>
      <c r="D31" s="8" t="s">
        <v>195</v>
      </c>
    </row>
    <row r="32" spans="1:4">
      <c r="A32" t="s">
        <v>115</v>
      </c>
      <c r="B32" t="s">
        <v>116</v>
      </c>
      <c r="C32" s="6">
        <v>155</v>
      </c>
      <c r="D32" s="8">
        <v>165</v>
      </c>
    </row>
    <row r="33" spans="1:4">
      <c r="A33" t="s">
        <v>119</v>
      </c>
      <c r="B33" t="s">
        <v>120</v>
      </c>
      <c r="C33" s="6">
        <v>155</v>
      </c>
      <c r="D33" s="8">
        <v>165</v>
      </c>
    </row>
    <row r="34" spans="1:4">
      <c r="A34" t="s">
        <v>122</v>
      </c>
      <c r="B34" t="s">
        <v>123</v>
      </c>
      <c r="C34" s="6">
        <v>165</v>
      </c>
      <c r="D34" s="8" t="s">
        <v>195</v>
      </c>
    </row>
    <row r="35" spans="1:4">
      <c r="A35" t="s">
        <v>124</v>
      </c>
      <c r="B35" t="s">
        <v>125</v>
      </c>
      <c r="C35" s="6">
        <v>155</v>
      </c>
      <c r="D35" s="8">
        <v>165</v>
      </c>
    </row>
    <row r="36" spans="1:4">
      <c r="A36" t="s">
        <v>126</v>
      </c>
      <c r="B36" t="s">
        <v>127</v>
      </c>
      <c r="C36" s="6">
        <v>175</v>
      </c>
      <c r="D36" s="7" t="s">
        <v>195</v>
      </c>
    </row>
    <row r="37" spans="1:4">
      <c r="C37" s="4"/>
    </row>
    <row r="38" spans="1:4">
      <c r="A38" s="3" t="s">
        <v>117</v>
      </c>
      <c r="C38" s="4"/>
    </row>
    <row r="39" spans="1:4">
      <c r="A39" t="s">
        <v>128</v>
      </c>
      <c r="B39" t="s">
        <v>129</v>
      </c>
      <c r="C39" s="6">
        <v>155</v>
      </c>
      <c r="D39" s="6">
        <v>165</v>
      </c>
    </row>
    <row r="40" spans="1:4">
      <c r="A40" t="s">
        <v>130</v>
      </c>
      <c r="B40" t="s">
        <v>131</v>
      </c>
      <c r="C40" s="6">
        <v>155</v>
      </c>
      <c r="D40" s="6">
        <v>165</v>
      </c>
    </row>
    <row r="41" spans="1:4">
      <c r="A41" t="s">
        <v>132</v>
      </c>
      <c r="B41" t="s">
        <v>133</v>
      </c>
      <c r="C41" s="6">
        <v>155</v>
      </c>
      <c r="D41" s="6">
        <v>165</v>
      </c>
    </row>
    <row r="42" spans="1:4">
      <c r="A42" t="s">
        <v>134</v>
      </c>
      <c r="B42" t="s">
        <v>135</v>
      </c>
      <c r="C42" s="6">
        <v>155</v>
      </c>
      <c r="D42" s="6">
        <v>165</v>
      </c>
    </row>
    <row r="43" spans="1:4">
      <c r="A43" t="s">
        <v>136</v>
      </c>
      <c r="B43" t="s">
        <v>137</v>
      </c>
      <c r="C43" s="6">
        <v>155</v>
      </c>
      <c r="D43" s="6">
        <v>165</v>
      </c>
    </row>
    <row r="44" spans="1:4">
      <c r="A44" t="s">
        <v>139</v>
      </c>
      <c r="B44" t="s">
        <v>140</v>
      </c>
      <c r="C44" s="6">
        <v>155</v>
      </c>
      <c r="D44" s="6">
        <v>165</v>
      </c>
    </row>
    <row r="45" spans="1:4">
      <c r="A45" t="s">
        <v>141</v>
      </c>
      <c r="B45" t="s">
        <v>142</v>
      </c>
      <c r="C45" s="6">
        <v>155</v>
      </c>
      <c r="D45" s="6">
        <v>165</v>
      </c>
    </row>
    <row r="46" spans="1:4">
      <c r="A46" t="s">
        <v>143</v>
      </c>
      <c r="B46" t="s">
        <v>144</v>
      </c>
      <c r="C46" s="6">
        <v>155</v>
      </c>
      <c r="D46" s="6">
        <v>165</v>
      </c>
    </row>
    <row r="47" spans="1:4">
      <c r="A47" t="s">
        <v>145</v>
      </c>
      <c r="B47" t="s">
        <v>146</v>
      </c>
      <c r="C47" s="6">
        <v>155</v>
      </c>
      <c r="D47" s="6">
        <v>165</v>
      </c>
    </row>
    <row r="48" spans="1:4">
      <c r="A48" t="s">
        <v>147</v>
      </c>
      <c r="B48" t="s">
        <v>148</v>
      </c>
      <c r="C48" s="6">
        <v>155</v>
      </c>
      <c r="D48" s="6">
        <v>165</v>
      </c>
    </row>
    <row r="49" spans="1:4">
      <c r="A49" t="s">
        <v>149</v>
      </c>
      <c r="B49" t="s">
        <v>150</v>
      </c>
      <c r="C49" s="6">
        <v>155</v>
      </c>
      <c r="D49" s="6">
        <v>165</v>
      </c>
    </row>
    <row r="50" spans="1:4">
      <c r="A50" t="s">
        <v>151</v>
      </c>
      <c r="B50" t="s">
        <v>152</v>
      </c>
      <c r="C50" s="6">
        <v>155</v>
      </c>
      <c r="D50" s="6">
        <v>165</v>
      </c>
    </row>
    <row r="51" spans="1:4">
      <c r="A51" t="s">
        <v>153</v>
      </c>
      <c r="B51" t="s">
        <v>154</v>
      </c>
      <c r="C51" s="6">
        <v>155</v>
      </c>
      <c r="D51" s="6">
        <v>165</v>
      </c>
    </row>
    <row r="52" spans="1:4">
      <c r="A52" t="s">
        <v>155</v>
      </c>
      <c r="B52" t="s">
        <v>156</v>
      </c>
      <c r="C52" s="6">
        <v>155</v>
      </c>
      <c r="D52" s="6">
        <v>165</v>
      </c>
    </row>
    <row r="53" spans="1:4">
      <c r="A53" t="s">
        <v>157</v>
      </c>
      <c r="B53" t="s">
        <v>158</v>
      </c>
      <c r="C53" s="6">
        <v>155</v>
      </c>
      <c r="D53" s="6">
        <v>165</v>
      </c>
    </row>
    <row r="54" spans="1:4">
      <c r="A54" t="s">
        <v>160</v>
      </c>
      <c r="B54" t="s">
        <v>201</v>
      </c>
      <c r="C54" s="6">
        <v>155</v>
      </c>
      <c r="D54" s="6">
        <v>165</v>
      </c>
    </row>
    <row r="55" spans="1:4">
      <c r="A55" t="s">
        <v>162</v>
      </c>
      <c r="B55" t="s">
        <v>163</v>
      </c>
      <c r="C55" s="6">
        <v>155</v>
      </c>
      <c r="D55" s="6">
        <v>165</v>
      </c>
    </row>
    <row r="56" spans="1:4">
      <c r="A56" t="s">
        <v>164</v>
      </c>
      <c r="B56" t="s">
        <v>165</v>
      </c>
      <c r="C56" s="6">
        <v>155</v>
      </c>
      <c r="D56" s="6">
        <v>165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BB43-6018-4BCA-854F-C5C2A65F351C}">
  <sheetPr>
    <tabColor rgb="FFFF0000"/>
  </sheetPr>
  <dimension ref="A2:N85"/>
  <sheetViews>
    <sheetView zoomScale="85" zoomScaleNormal="85" workbookViewId="0">
      <pane ySplit="5" topLeftCell="A8" activePane="bottomLeft" state="frozen"/>
      <selection pane="bottomLeft" activeCell="K10" sqref="K10"/>
    </sheetView>
  </sheetViews>
  <sheetFormatPr defaultColWidth="8.875" defaultRowHeight="15.75" customHeight="1"/>
  <cols>
    <col min="1" max="1" width="6.375" style="20" customWidth="1"/>
    <col min="2" max="2" width="11.375" customWidth="1"/>
    <col min="3" max="3" width="44.125" customWidth="1"/>
    <col min="4" max="4" width="24.5" customWidth="1"/>
    <col min="5" max="5" width="17" customWidth="1"/>
    <col min="6" max="6" width="11" bestFit="1" customWidth="1"/>
    <col min="7" max="7" width="14.25" customWidth="1"/>
    <col min="8" max="8" width="10" customWidth="1"/>
    <col min="9" max="9" width="11.5" customWidth="1"/>
    <col min="10" max="10" width="20.125" customWidth="1"/>
    <col min="11" max="11" width="19.375" bestFit="1" customWidth="1"/>
    <col min="12" max="12" width="19.375" customWidth="1"/>
    <col min="13" max="13" width="11.625" customWidth="1"/>
    <col min="14" max="14" width="27" bestFit="1" customWidth="1"/>
    <col min="15" max="15" width="10.875" bestFit="1" customWidth="1"/>
    <col min="16" max="16" width="10.125" bestFit="1" customWidth="1"/>
  </cols>
  <sheetData>
    <row r="2" spans="1:14" ht="15.75" customHeight="1">
      <c r="D2" s="11" t="s">
        <v>202</v>
      </c>
    </row>
    <row r="3" spans="1:14" ht="15.75" customHeight="1">
      <c r="D3" s="13" t="s">
        <v>203</v>
      </c>
    </row>
    <row r="4" spans="1:14" ht="15.75" customHeight="1">
      <c r="D4" s="15" t="s">
        <v>204</v>
      </c>
    </row>
    <row r="5" spans="1:14" s="22" customFormat="1" ht="31.5" customHeight="1">
      <c r="A5" s="21" t="s">
        <v>4</v>
      </c>
      <c r="B5" s="21" t="s">
        <v>0</v>
      </c>
      <c r="C5" s="21" t="s">
        <v>1</v>
      </c>
      <c r="D5" s="21" t="s">
        <v>2</v>
      </c>
      <c r="E5" s="21" t="s">
        <v>5</v>
      </c>
      <c r="F5" s="21" t="s">
        <v>3</v>
      </c>
      <c r="G5" s="21" t="s">
        <v>205</v>
      </c>
      <c r="H5" s="21" t="s">
        <v>206</v>
      </c>
      <c r="I5" s="21" t="s">
        <v>207</v>
      </c>
      <c r="J5" s="21" t="s">
        <v>208</v>
      </c>
      <c r="K5" s="21" t="s">
        <v>209</v>
      </c>
      <c r="L5" s="21" t="s">
        <v>210</v>
      </c>
      <c r="M5" s="21" t="s">
        <v>211</v>
      </c>
      <c r="N5" s="22" t="s">
        <v>212</v>
      </c>
    </row>
    <row r="6" spans="1:14" ht="15.95">
      <c r="A6" s="20">
        <v>1</v>
      </c>
      <c r="B6" s="27" t="s">
        <v>29</v>
      </c>
      <c r="C6" t="s">
        <v>30</v>
      </c>
      <c r="D6" s="18">
        <v>47696</v>
      </c>
      <c r="E6" t="s">
        <v>31</v>
      </c>
      <c r="F6" s="2">
        <v>70000</v>
      </c>
      <c r="G6" s="19">
        <v>24200</v>
      </c>
      <c r="H6" s="19">
        <v>34275</v>
      </c>
      <c r="I6" s="19">
        <f t="shared" ref="I6:I23" si="0">H6-G6</f>
        <v>10075</v>
      </c>
      <c r="J6" t="s">
        <v>213</v>
      </c>
      <c r="K6" t="s">
        <v>214</v>
      </c>
      <c r="L6" t="s">
        <v>215</v>
      </c>
      <c r="M6" s="1">
        <v>46006</v>
      </c>
    </row>
    <row r="7" spans="1:14" ht="15.95">
      <c r="A7" s="20">
        <v>1</v>
      </c>
      <c r="B7" t="s">
        <v>36</v>
      </c>
      <c r="C7" t="s">
        <v>37</v>
      </c>
      <c r="D7" s="1">
        <v>46554</v>
      </c>
      <c r="E7" t="s">
        <v>38</v>
      </c>
      <c r="F7" s="2">
        <v>30561</v>
      </c>
      <c r="G7" s="19">
        <v>12705</v>
      </c>
      <c r="H7" s="19">
        <v>17485</v>
      </c>
      <c r="I7" s="19">
        <f t="shared" si="0"/>
        <v>4780</v>
      </c>
      <c r="J7" t="s">
        <v>213</v>
      </c>
      <c r="K7" t="s">
        <v>214</v>
      </c>
      <c r="L7" t="s">
        <v>214</v>
      </c>
      <c r="M7" s="1">
        <v>46006</v>
      </c>
    </row>
    <row r="8" spans="1:14" ht="15.95">
      <c r="A8" s="20">
        <v>1</v>
      </c>
      <c r="B8" t="s">
        <v>41</v>
      </c>
      <c r="C8" t="s">
        <v>42</v>
      </c>
      <c r="D8" s="1">
        <v>46965</v>
      </c>
      <c r="E8" t="s">
        <v>43</v>
      </c>
      <c r="F8" s="2">
        <v>18000</v>
      </c>
      <c r="G8" s="19">
        <v>18500</v>
      </c>
      <c r="H8" s="19">
        <v>20250</v>
      </c>
      <c r="I8" s="19">
        <f t="shared" si="0"/>
        <v>1750</v>
      </c>
      <c r="J8" t="s">
        <v>213</v>
      </c>
      <c r="K8" t="s">
        <v>214</v>
      </c>
      <c r="L8" t="s">
        <v>214</v>
      </c>
      <c r="M8" s="1">
        <v>46006</v>
      </c>
    </row>
    <row r="9" spans="1:14" ht="15.95">
      <c r="A9" s="20">
        <v>1</v>
      </c>
      <c r="B9" t="s">
        <v>46</v>
      </c>
      <c r="C9" t="s">
        <v>47</v>
      </c>
      <c r="E9" t="s">
        <v>38</v>
      </c>
      <c r="F9" s="2">
        <v>19300</v>
      </c>
      <c r="G9" s="19">
        <v>19300</v>
      </c>
      <c r="H9" s="19">
        <v>17225</v>
      </c>
      <c r="I9" s="19">
        <f t="shared" si="0"/>
        <v>-2075</v>
      </c>
      <c r="J9" t="s">
        <v>213</v>
      </c>
      <c r="K9" t="s">
        <v>214</v>
      </c>
      <c r="L9" t="s">
        <v>214</v>
      </c>
      <c r="M9" s="1">
        <v>46006</v>
      </c>
    </row>
    <row r="10" spans="1:14" ht="15.95">
      <c r="A10" s="20">
        <v>1</v>
      </c>
      <c r="B10" t="s">
        <v>53</v>
      </c>
      <c r="C10" t="s">
        <v>54</v>
      </c>
      <c r="D10" s="1">
        <v>46568</v>
      </c>
      <c r="E10" t="s">
        <v>38</v>
      </c>
      <c r="F10" s="2">
        <v>26500</v>
      </c>
      <c r="G10" s="25">
        <v>27295</v>
      </c>
      <c r="H10" s="19">
        <v>28745</v>
      </c>
      <c r="I10" s="19">
        <f t="shared" si="0"/>
        <v>1450</v>
      </c>
      <c r="J10" t="s">
        <v>213</v>
      </c>
      <c r="K10" t="s">
        <v>214</v>
      </c>
      <c r="L10" t="s">
        <v>214</v>
      </c>
      <c r="M10" s="1">
        <v>46006</v>
      </c>
    </row>
    <row r="11" spans="1:14" ht="15.95">
      <c r="A11" s="20">
        <v>1</v>
      </c>
      <c r="B11" t="s">
        <v>51</v>
      </c>
      <c r="C11" t="s">
        <v>52</v>
      </c>
      <c r="D11" s="10">
        <v>46074</v>
      </c>
      <c r="E11" t="s">
        <v>43</v>
      </c>
      <c r="F11" s="2">
        <v>21121</v>
      </c>
      <c r="G11" s="19">
        <v>21121</v>
      </c>
      <c r="H11" s="19">
        <v>25115</v>
      </c>
      <c r="I11" s="19">
        <f>H11-G11</f>
        <v>3994</v>
      </c>
      <c r="J11" t="s">
        <v>213</v>
      </c>
      <c r="K11" t="s">
        <v>214</v>
      </c>
      <c r="L11" t="s">
        <v>214</v>
      </c>
      <c r="M11" s="1">
        <v>46006</v>
      </c>
    </row>
    <row r="12" spans="1:14" ht="15.95">
      <c r="A12" s="20">
        <v>1</v>
      </c>
      <c r="B12" t="s">
        <v>58</v>
      </c>
      <c r="C12" t="s">
        <v>59</v>
      </c>
      <c r="D12" s="16">
        <v>46326</v>
      </c>
      <c r="E12" t="s">
        <v>43</v>
      </c>
      <c r="F12" s="2">
        <v>22800</v>
      </c>
      <c r="G12" s="19">
        <v>23405</v>
      </c>
      <c r="H12" s="19">
        <v>21765</v>
      </c>
      <c r="I12" s="19">
        <f t="shared" si="0"/>
        <v>-1640</v>
      </c>
      <c r="J12" t="s">
        <v>213</v>
      </c>
      <c r="K12" t="s">
        <v>214</v>
      </c>
      <c r="L12" t="s">
        <v>214</v>
      </c>
      <c r="M12" s="1">
        <v>46006</v>
      </c>
    </row>
    <row r="13" spans="1:14" ht="15.95">
      <c r="A13" s="20">
        <v>1</v>
      </c>
      <c r="B13" t="s">
        <v>216</v>
      </c>
      <c r="C13" t="s">
        <v>217</v>
      </c>
      <c r="E13" t="s">
        <v>43</v>
      </c>
      <c r="G13" s="26">
        <v>11144</v>
      </c>
      <c r="H13" s="26">
        <v>12275</v>
      </c>
      <c r="I13" s="19">
        <v>1131</v>
      </c>
      <c r="J13" t="s">
        <v>213</v>
      </c>
      <c r="K13" t="s">
        <v>214</v>
      </c>
      <c r="L13" t="s">
        <v>214</v>
      </c>
      <c r="M13" s="1">
        <v>46006</v>
      </c>
    </row>
    <row r="14" spans="1:14" ht="15.95">
      <c r="A14" s="20">
        <v>1</v>
      </c>
      <c r="B14" t="s">
        <v>62</v>
      </c>
      <c r="C14" t="s">
        <v>63</v>
      </c>
      <c r="D14" s="1">
        <v>47664</v>
      </c>
      <c r="E14" t="s">
        <v>43</v>
      </c>
      <c r="F14" s="2">
        <v>36156</v>
      </c>
      <c r="G14" s="19">
        <v>35540.839999999997</v>
      </c>
      <c r="H14" s="19">
        <v>46205</v>
      </c>
      <c r="I14" s="19">
        <f t="shared" si="0"/>
        <v>10664.160000000003</v>
      </c>
      <c r="J14" t="s">
        <v>213</v>
      </c>
      <c r="K14" t="s">
        <v>214</v>
      </c>
      <c r="L14" t="s">
        <v>214</v>
      </c>
      <c r="M14" s="1">
        <v>46006</v>
      </c>
    </row>
    <row r="15" spans="1:14" ht="15.95">
      <c r="A15" s="20">
        <v>1</v>
      </c>
      <c r="B15" t="s">
        <v>66</v>
      </c>
      <c r="C15" t="s">
        <v>67</v>
      </c>
      <c r="D15" s="1">
        <v>46559</v>
      </c>
      <c r="E15" t="s">
        <v>43</v>
      </c>
      <c r="F15" s="2">
        <v>14986</v>
      </c>
      <c r="G15" s="19">
        <v>15436.1</v>
      </c>
      <c r="H15" s="19">
        <v>26125</v>
      </c>
      <c r="I15" s="19">
        <f t="shared" si="0"/>
        <v>10688.9</v>
      </c>
      <c r="J15" t="s">
        <v>213</v>
      </c>
      <c r="K15" t="s">
        <v>214</v>
      </c>
      <c r="L15" t="s">
        <v>214</v>
      </c>
      <c r="M15" s="1">
        <v>46006</v>
      </c>
    </row>
    <row r="16" spans="1:14" ht="15.95">
      <c r="A16" s="20">
        <v>1</v>
      </c>
      <c r="B16" t="s">
        <v>69</v>
      </c>
      <c r="C16" t="s">
        <v>70</v>
      </c>
      <c r="D16" s="10">
        <v>46326</v>
      </c>
      <c r="E16" t="s">
        <v>43</v>
      </c>
      <c r="F16" s="2">
        <v>17154</v>
      </c>
      <c r="G16" s="19">
        <v>15558.33</v>
      </c>
      <c r="H16" s="19">
        <v>31630</v>
      </c>
      <c r="I16" s="19">
        <f t="shared" si="0"/>
        <v>16071.67</v>
      </c>
      <c r="J16" t="s">
        <v>213</v>
      </c>
      <c r="K16" t="s">
        <v>214</v>
      </c>
      <c r="L16" t="s">
        <v>214</v>
      </c>
      <c r="M16" s="1">
        <v>46006</v>
      </c>
    </row>
    <row r="17" spans="1:14" s="12" customFormat="1" ht="18.600000000000001" customHeight="1">
      <c r="A17" s="30">
        <v>1</v>
      </c>
      <c r="B17" s="12" t="s">
        <v>188</v>
      </c>
      <c r="C17" s="12" t="s">
        <v>189</v>
      </c>
      <c r="D17" s="31">
        <v>46022</v>
      </c>
      <c r="E17" s="12" t="s">
        <v>38</v>
      </c>
      <c r="F17" s="32">
        <v>25534</v>
      </c>
      <c r="G17" s="33"/>
      <c r="H17" s="33"/>
      <c r="I17" s="33">
        <f t="shared" si="0"/>
        <v>0</v>
      </c>
      <c r="J17" s="12" t="s">
        <v>218</v>
      </c>
      <c r="M17" s="34">
        <v>46006</v>
      </c>
      <c r="N17" s="35" t="s">
        <v>219</v>
      </c>
    </row>
    <row r="18" spans="1:14" ht="15.95">
      <c r="A18" s="20">
        <v>1</v>
      </c>
      <c r="B18" t="s">
        <v>82</v>
      </c>
      <c r="C18" t="s">
        <v>83</v>
      </c>
      <c r="D18" s="16">
        <v>45530</v>
      </c>
      <c r="E18" t="s">
        <v>38</v>
      </c>
      <c r="F18" s="2">
        <v>9120</v>
      </c>
      <c r="G18" s="19">
        <v>9120</v>
      </c>
      <c r="H18" s="19">
        <v>10940</v>
      </c>
      <c r="I18" s="19">
        <f t="shared" si="0"/>
        <v>1820</v>
      </c>
      <c r="J18" t="s">
        <v>213</v>
      </c>
      <c r="M18" s="1">
        <v>46006</v>
      </c>
    </row>
    <row r="19" spans="1:14" ht="15.95">
      <c r="A19" s="20">
        <v>1</v>
      </c>
      <c r="B19" t="s">
        <v>71</v>
      </c>
      <c r="C19" t="s">
        <v>72</v>
      </c>
      <c r="D19" s="1">
        <v>46630</v>
      </c>
      <c r="E19" t="s">
        <v>43</v>
      </c>
      <c r="F19" s="2">
        <v>4720</v>
      </c>
      <c r="G19" s="19">
        <v>4721</v>
      </c>
      <c r="H19" s="19">
        <v>10020</v>
      </c>
      <c r="I19" s="19">
        <f t="shared" si="0"/>
        <v>5299</v>
      </c>
      <c r="J19" t="s">
        <v>213</v>
      </c>
      <c r="K19" t="s">
        <v>214</v>
      </c>
      <c r="L19" t="s">
        <v>214</v>
      </c>
      <c r="M19" s="1">
        <v>46006</v>
      </c>
    </row>
    <row r="20" spans="1:14" ht="15.95">
      <c r="A20" s="20">
        <v>1</v>
      </c>
      <c r="B20" s="27" t="s">
        <v>75</v>
      </c>
      <c r="C20" t="s">
        <v>76</v>
      </c>
      <c r="D20" s="1">
        <v>46630</v>
      </c>
      <c r="E20" t="s">
        <v>31</v>
      </c>
      <c r="F20" s="2">
        <v>35030</v>
      </c>
      <c r="G20" s="19"/>
      <c r="H20" s="19"/>
      <c r="I20" s="19">
        <f t="shared" si="0"/>
        <v>0</v>
      </c>
      <c r="J20" t="s">
        <v>220</v>
      </c>
      <c r="K20" t="s">
        <v>220</v>
      </c>
      <c r="L20" t="s">
        <v>220</v>
      </c>
      <c r="M20" s="1">
        <v>46006</v>
      </c>
    </row>
    <row r="21" spans="1:14" ht="15.95">
      <c r="A21" s="20">
        <v>1</v>
      </c>
      <c r="B21" t="s">
        <v>77</v>
      </c>
      <c r="C21" t="s">
        <v>78</v>
      </c>
      <c r="D21" s="1">
        <v>46630</v>
      </c>
      <c r="E21" t="s">
        <v>31</v>
      </c>
      <c r="F21" s="2">
        <v>38860</v>
      </c>
      <c r="G21" s="19">
        <v>19120</v>
      </c>
      <c r="H21" s="19">
        <v>23360</v>
      </c>
      <c r="I21" s="19">
        <f t="shared" si="0"/>
        <v>4240</v>
      </c>
      <c r="J21" t="s">
        <v>213</v>
      </c>
      <c r="K21" t="s">
        <v>214</v>
      </c>
      <c r="L21" t="s">
        <v>215</v>
      </c>
      <c r="M21" s="1">
        <v>46006</v>
      </c>
    </row>
    <row r="22" spans="1:14" ht="15.95">
      <c r="A22" s="20">
        <v>1</v>
      </c>
      <c r="B22" t="s">
        <v>79</v>
      </c>
      <c r="C22" t="s">
        <v>80</v>
      </c>
      <c r="D22" s="10">
        <v>46203</v>
      </c>
      <c r="E22" t="s">
        <v>38</v>
      </c>
      <c r="F22" s="2">
        <v>16000</v>
      </c>
      <c r="G22" s="19">
        <v>16959</v>
      </c>
      <c r="H22" s="19">
        <v>18235</v>
      </c>
      <c r="I22" s="19">
        <f t="shared" si="0"/>
        <v>1276</v>
      </c>
      <c r="J22" t="s">
        <v>213</v>
      </c>
      <c r="K22" t="s">
        <v>214</v>
      </c>
      <c r="L22" t="s">
        <v>214</v>
      </c>
      <c r="M22" s="1">
        <v>46006</v>
      </c>
    </row>
    <row r="23" spans="1:14" ht="15.95">
      <c r="A23" s="20">
        <v>2</v>
      </c>
      <c r="B23" t="s">
        <v>86</v>
      </c>
      <c r="C23" t="s">
        <v>87</v>
      </c>
      <c r="D23" s="1">
        <v>46419</v>
      </c>
      <c r="E23" t="s">
        <v>38</v>
      </c>
      <c r="F23" s="2">
        <v>4659</v>
      </c>
      <c r="G23" s="19"/>
      <c r="H23" s="19"/>
      <c r="I23" s="19">
        <f t="shared" si="0"/>
        <v>0</v>
      </c>
      <c r="J23" t="s">
        <v>218</v>
      </c>
      <c r="M23" s="1">
        <v>46006</v>
      </c>
      <c r="N23" t="s">
        <v>221</v>
      </c>
    </row>
    <row r="24" spans="1:14" ht="15.95">
      <c r="A24" s="20">
        <v>2</v>
      </c>
      <c r="B24" t="s">
        <v>88</v>
      </c>
      <c r="C24" t="s">
        <v>89</v>
      </c>
      <c r="D24" s="10">
        <v>46157</v>
      </c>
      <c r="E24" t="s">
        <v>31</v>
      </c>
      <c r="F24" s="2">
        <v>4714.75</v>
      </c>
      <c r="G24" s="95">
        <v>4714.75</v>
      </c>
      <c r="H24" s="19">
        <v>0</v>
      </c>
      <c r="I24" s="19">
        <v>0</v>
      </c>
      <c r="J24" t="s">
        <v>213</v>
      </c>
      <c r="K24" t="s">
        <v>214</v>
      </c>
      <c r="L24" t="s">
        <v>214</v>
      </c>
      <c r="M24" s="1">
        <v>46006</v>
      </c>
    </row>
    <row r="25" spans="1:14" ht="15.95">
      <c r="A25" s="20">
        <v>2</v>
      </c>
      <c r="B25" t="s">
        <v>90</v>
      </c>
      <c r="C25" t="s">
        <v>91</v>
      </c>
      <c r="D25" s="10">
        <v>46204</v>
      </c>
      <c r="E25" t="s">
        <v>43</v>
      </c>
      <c r="F25" s="2">
        <v>5700</v>
      </c>
      <c r="G25" s="19">
        <v>5700</v>
      </c>
      <c r="H25" s="19">
        <v>9400</v>
      </c>
      <c r="I25" s="19">
        <f t="shared" ref="I25:I35" si="1">H25-G25</f>
        <v>3700</v>
      </c>
      <c r="J25" t="s">
        <v>213</v>
      </c>
      <c r="K25" t="s">
        <v>214</v>
      </c>
      <c r="L25" t="s">
        <v>214</v>
      </c>
      <c r="M25" s="1">
        <v>46006</v>
      </c>
    </row>
    <row r="26" spans="1:14" ht="15.95">
      <c r="D26" s="10"/>
      <c r="F26" s="2"/>
      <c r="G26" s="19"/>
      <c r="H26" s="19"/>
      <c r="I26" s="19"/>
      <c r="M26" s="1"/>
    </row>
    <row r="27" spans="1:14" ht="15.95">
      <c r="A27" s="20">
        <v>2</v>
      </c>
      <c r="B27" t="s">
        <v>94</v>
      </c>
      <c r="C27" t="s">
        <v>95</v>
      </c>
      <c r="D27" s="10">
        <v>46203</v>
      </c>
      <c r="E27" t="s">
        <v>31</v>
      </c>
      <c r="F27" s="2">
        <v>4314</v>
      </c>
      <c r="G27" s="95">
        <v>6500</v>
      </c>
      <c r="H27" s="19">
        <v>6500</v>
      </c>
      <c r="I27" s="19">
        <f t="shared" si="1"/>
        <v>0</v>
      </c>
      <c r="J27" t="s">
        <v>213</v>
      </c>
      <c r="K27" t="s">
        <v>214</v>
      </c>
      <c r="L27" t="s">
        <v>214</v>
      </c>
      <c r="M27" s="1">
        <v>46006</v>
      </c>
    </row>
    <row r="28" spans="1:14" ht="15.95">
      <c r="A28" s="20">
        <v>2</v>
      </c>
      <c r="B28" t="s">
        <v>98</v>
      </c>
      <c r="C28" t="s">
        <v>99</v>
      </c>
      <c r="D28" t="s">
        <v>100</v>
      </c>
      <c r="E28" t="s">
        <v>101</v>
      </c>
      <c r="F28" s="2">
        <v>3999</v>
      </c>
      <c r="G28" s="19">
        <v>2999</v>
      </c>
      <c r="H28" s="19">
        <v>11675</v>
      </c>
      <c r="I28" s="19">
        <f t="shared" si="1"/>
        <v>8676</v>
      </c>
      <c r="J28" t="s">
        <v>213</v>
      </c>
      <c r="K28" t="s">
        <v>214</v>
      </c>
      <c r="L28" t="s">
        <v>214</v>
      </c>
      <c r="M28" s="1">
        <v>46006</v>
      </c>
    </row>
    <row r="29" spans="1:14" ht="15.95">
      <c r="A29" s="20">
        <v>2</v>
      </c>
      <c r="B29" t="s">
        <v>103</v>
      </c>
      <c r="C29" t="s">
        <v>104</v>
      </c>
      <c r="D29" s="1">
        <v>47483</v>
      </c>
      <c r="E29" t="s">
        <v>31</v>
      </c>
      <c r="F29" s="2">
        <v>7000</v>
      </c>
      <c r="G29" s="19">
        <v>7119</v>
      </c>
      <c r="H29" s="19">
        <v>9504</v>
      </c>
      <c r="I29" s="19">
        <v>2385</v>
      </c>
      <c r="J29" t="s">
        <v>213</v>
      </c>
      <c r="K29" t="s">
        <v>214</v>
      </c>
      <c r="L29" t="s">
        <v>214</v>
      </c>
      <c r="M29" s="1">
        <v>46006</v>
      </c>
    </row>
    <row r="30" spans="1:14" ht="15.95">
      <c r="A30" s="20">
        <v>2</v>
      </c>
      <c r="B30" t="s">
        <v>106</v>
      </c>
      <c r="C30" t="s">
        <v>199</v>
      </c>
      <c r="D30" s="10">
        <v>46203</v>
      </c>
      <c r="E30" t="s">
        <v>38</v>
      </c>
      <c r="F30" s="2">
        <v>5730</v>
      </c>
      <c r="G30" s="19">
        <v>4490</v>
      </c>
      <c r="H30" s="19">
        <v>10975</v>
      </c>
      <c r="I30" s="19">
        <f t="shared" si="1"/>
        <v>6485</v>
      </c>
      <c r="J30" t="s">
        <v>213</v>
      </c>
      <c r="K30" t="s">
        <v>214</v>
      </c>
      <c r="L30" t="s">
        <v>214</v>
      </c>
      <c r="M30" s="1">
        <v>46006</v>
      </c>
    </row>
    <row r="31" spans="1:14" ht="15.95">
      <c r="A31" s="20">
        <v>2</v>
      </c>
      <c r="B31" t="s">
        <v>107</v>
      </c>
      <c r="C31" t="s">
        <v>108</v>
      </c>
      <c r="D31" s="16">
        <v>45303</v>
      </c>
      <c r="E31" t="s">
        <v>38</v>
      </c>
      <c r="F31" s="2">
        <v>3967</v>
      </c>
      <c r="G31" s="19">
        <v>3967</v>
      </c>
      <c r="H31" s="19">
        <v>6250</v>
      </c>
      <c r="I31" s="19">
        <f t="shared" si="1"/>
        <v>2283</v>
      </c>
      <c r="J31" t="s">
        <v>213</v>
      </c>
      <c r="K31" t="s">
        <v>214</v>
      </c>
      <c r="L31" t="s">
        <v>214</v>
      </c>
      <c r="M31" s="1">
        <v>46006</v>
      </c>
    </row>
    <row r="32" spans="1:14" ht="15.95">
      <c r="A32" s="20">
        <v>2</v>
      </c>
      <c r="B32" t="s">
        <v>110</v>
      </c>
      <c r="C32" t="s">
        <v>111</v>
      </c>
      <c r="D32" s="1">
        <v>46752</v>
      </c>
      <c r="E32" t="s">
        <v>38</v>
      </c>
      <c r="F32" s="2">
        <v>4905</v>
      </c>
      <c r="G32" s="19">
        <v>4905</v>
      </c>
      <c r="H32" s="19">
        <v>8050</v>
      </c>
      <c r="I32" s="19">
        <f>H32-G32</f>
        <v>3145</v>
      </c>
      <c r="J32" t="s">
        <v>213</v>
      </c>
      <c r="K32" t="s">
        <v>214</v>
      </c>
      <c r="L32" t="s">
        <v>214</v>
      </c>
      <c r="M32" s="1">
        <v>46006</v>
      </c>
    </row>
    <row r="33" spans="1:14" ht="15.95">
      <c r="A33" s="20">
        <v>2</v>
      </c>
      <c r="B33" t="s">
        <v>112</v>
      </c>
      <c r="C33" t="s">
        <v>113</v>
      </c>
      <c r="D33" s="10">
        <v>46177</v>
      </c>
      <c r="E33" t="s">
        <v>38</v>
      </c>
      <c r="F33" s="2">
        <v>8370</v>
      </c>
      <c r="G33" s="19">
        <v>7860</v>
      </c>
      <c r="H33" s="19">
        <v>8295</v>
      </c>
      <c r="I33" s="19">
        <f t="shared" si="1"/>
        <v>435</v>
      </c>
      <c r="J33" t="s">
        <v>213</v>
      </c>
      <c r="K33" t="s">
        <v>214</v>
      </c>
      <c r="L33" t="s">
        <v>214</v>
      </c>
      <c r="M33" s="1">
        <v>46006</v>
      </c>
    </row>
    <row r="34" spans="1:14" ht="15.95">
      <c r="A34" s="20">
        <v>2</v>
      </c>
      <c r="B34" t="s">
        <v>115</v>
      </c>
      <c r="C34" t="s">
        <v>116</v>
      </c>
      <c r="D34" s="10" t="s">
        <v>100</v>
      </c>
      <c r="E34" t="s">
        <v>43</v>
      </c>
      <c r="F34" s="2">
        <v>2800</v>
      </c>
      <c r="G34" s="19">
        <v>2800</v>
      </c>
      <c r="H34" s="19">
        <v>4525</v>
      </c>
      <c r="I34" s="19">
        <f t="shared" si="1"/>
        <v>1725</v>
      </c>
      <c r="J34" t="s">
        <v>213</v>
      </c>
      <c r="K34" t="s">
        <v>214</v>
      </c>
      <c r="L34" t="s">
        <v>214</v>
      </c>
      <c r="M34" s="1">
        <v>46006</v>
      </c>
    </row>
    <row r="35" spans="1:14" ht="15.95">
      <c r="A35" s="20">
        <v>2</v>
      </c>
      <c r="B35" t="s">
        <v>119</v>
      </c>
      <c r="C35" t="s">
        <v>120</v>
      </c>
      <c r="D35" s="16" t="s">
        <v>222</v>
      </c>
      <c r="E35" t="s">
        <v>31</v>
      </c>
      <c r="F35" s="2">
        <v>4120</v>
      </c>
      <c r="G35" s="19">
        <v>4120</v>
      </c>
      <c r="H35" s="19">
        <v>6100</v>
      </c>
      <c r="I35" s="19">
        <f t="shared" si="1"/>
        <v>1980</v>
      </c>
      <c r="J35" t="s">
        <v>213</v>
      </c>
      <c r="K35" t="s">
        <v>214</v>
      </c>
      <c r="L35" t="s">
        <v>215</v>
      </c>
      <c r="M35" s="1">
        <v>46006</v>
      </c>
    </row>
    <row r="36" spans="1:14" ht="15.95">
      <c r="A36" s="20">
        <v>2</v>
      </c>
      <c r="B36" t="s">
        <v>122</v>
      </c>
      <c r="C36" t="s">
        <v>123</v>
      </c>
      <c r="D36" s="10">
        <v>46113</v>
      </c>
      <c r="E36" t="s">
        <v>101</v>
      </c>
      <c r="F36" s="2">
        <v>3465</v>
      </c>
      <c r="G36" s="19"/>
      <c r="H36" s="19"/>
      <c r="I36" s="19">
        <f t="shared" ref="I36:I58" si="2">H36-G36</f>
        <v>0</v>
      </c>
      <c r="J36" t="s">
        <v>218</v>
      </c>
      <c r="K36" t="s">
        <v>223</v>
      </c>
      <c r="M36" s="1">
        <v>46006</v>
      </c>
      <c r="N36" t="s">
        <v>224</v>
      </c>
    </row>
    <row r="37" spans="1:14" ht="15.95">
      <c r="A37" s="20">
        <v>2</v>
      </c>
      <c r="B37" t="s">
        <v>124</v>
      </c>
      <c r="C37" t="s">
        <v>125</v>
      </c>
      <c r="D37" s="1">
        <v>46446</v>
      </c>
      <c r="E37" t="s">
        <v>31</v>
      </c>
      <c r="F37" s="2">
        <v>6650</v>
      </c>
      <c r="G37" s="19">
        <v>6650</v>
      </c>
      <c r="H37" s="19">
        <v>7300</v>
      </c>
      <c r="I37" s="19">
        <f t="shared" si="2"/>
        <v>650</v>
      </c>
      <c r="J37" t="s">
        <v>213</v>
      </c>
      <c r="K37" t="s">
        <v>214</v>
      </c>
      <c r="L37" t="s">
        <v>214</v>
      </c>
      <c r="M37" s="1">
        <v>46006</v>
      </c>
    </row>
    <row r="38" spans="1:14" ht="15.95">
      <c r="A38" s="20">
        <v>2</v>
      </c>
      <c r="B38" t="s">
        <v>126</v>
      </c>
      <c r="C38" t="s">
        <v>127</v>
      </c>
      <c r="D38" s="1">
        <v>46813</v>
      </c>
      <c r="E38" t="s">
        <v>38</v>
      </c>
      <c r="F38" s="2">
        <v>4577.5</v>
      </c>
      <c r="G38" s="19">
        <v>4577</v>
      </c>
      <c r="H38" s="19">
        <v>3690</v>
      </c>
      <c r="I38" s="19">
        <f t="shared" si="2"/>
        <v>-887</v>
      </c>
      <c r="J38" t="s">
        <v>213</v>
      </c>
      <c r="K38" t="s">
        <v>214</v>
      </c>
      <c r="L38" t="s">
        <v>214</v>
      </c>
      <c r="M38" s="1">
        <v>46006</v>
      </c>
    </row>
    <row r="39" spans="1:14" ht="15.95">
      <c r="A39" s="20">
        <v>3</v>
      </c>
      <c r="B39" t="s">
        <v>128</v>
      </c>
      <c r="C39" t="s">
        <v>129</v>
      </c>
      <c r="D39" s="1">
        <v>46446</v>
      </c>
      <c r="E39" t="s">
        <v>101</v>
      </c>
      <c r="F39" s="2">
        <v>2100</v>
      </c>
      <c r="G39" s="19">
        <v>2100</v>
      </c>
      <c r="H39" s="19">
        <v>3325</v>
      </c>
      <c r="I39" s="19">
        <f t="shared" si="2"/>
        <v>1225</v>
      </c>
      <c r="J39" t="s">
        <v>213</v>
      </c>
      <c r="K39" t="s">
        <v>214</v>
      </c>
      <c r="L39" t="s">
        <v>214</v>
      </c>
      <c r="M39" s="1">
        <v>46006</v>
      </c>
    </row>
    <row r="40" spans="1:14" ht="15.95">
      <c r="A40" s="20">
        <v>3</v>
      </c>
      <c r="B40" t="s">
        <v>130</v>
      </c>
      <c r="C40" t="s">
        <v>131</v>
      </c>
      <c r="D40" s="16">
        <v>44936</v>
      </c>
      <c r="E40" t="s">
        <v>101</v>
      </c>
      <c r="F40" s="2">
        <v>450</v>
      </c>
      <c r="G40" s="19">
        <v>450</v>
      </c>
      <c r="H40" s="19">
        <v>775</v>
      </c>
      <c r="I40" s="19">
        <f t="shared" si="2"/>
        <v>325</v>
      </c>
      <c r="J40" t="s">
        <v>213</v>
      </c>
      <c r="K40" t="s">
        <v>214</v>
      </c>
      <c r="L40" t="s">
        <v>214</v>
      </c>
      <c r="M40" s="1">
        <v>46006</v>
      </c>
    </row>
    <row r="41" spans="1:14" ht="15.95">
      <c r="A41" s="20">
        <v>3</v>
      </c>
      <c r="B41" t="s">
        <v>134</v>
      </c>
      <c r="C41" t="s">
        <v>135</v>
      </c>
      <c r="D41" s="16">
        <v>45563</v>
      </c>
      <c r="E41" t="s">
        <v>43</v>
      </c>
      <c r="F41" s="17">
        <v>3527</v>
      </c>
      <c r="G41" s="19">
        <v>2810</v>
      </c>
      <c r="H41" s="19">
        <v>3775</v>
      </c>
      <c r="I41" s="19">
        <f t="shared" si="2"/>
        <v>965</v>
      </c>
      <c r="J41" t="s">
        <v>213</v>
      </c>
      <c r="K41" t="s">
        <v>214</v>
      </c>
      <c r="L41" t="s">
        <v>214</v>
      </c>
      <c r="M41" s="1">
        <v>46006</v>
      </c>
    </row>
    <row r="42" spans="1:14" ht="15.95">
      <c r="A42" s="20">
        <v>3</v>
      </c>
      <c r="B42" t="s">
        <v>132</v>
      </c>
      <c r="C42" t="s">
        <v>133</v>
      </c>
      <c r="D42" s="1">
        <v>46388</v>
      </c>
      <c r="E42" t="s">
        <v>101</v>
      </c>
      <c r="F42" s="2">
        <v>950</v>
      </c>
      <c r="G42" s="19">
        <v>960</v>
      </c>
      <c r="H42" s="19">
        <v>1535</v>
      </c>
      <c r="I42" s="19">
        <f>H42-G42</f>
        <v>575</v>
      </c>
      <c r="J42" t="s">
        <v>213</v>
      </c>
      <c r="K42" t="s">
        <v>214</v>
      </c>
      <c r="L42" t="s">
        <v>214</v>
      </c>
      <c r="M42" s="1">
        <v>46006</v>
      </c>
    </row>
    <row r="43" spans="1:14" ht="15.95">
      <c r="A43" s="20">
        <v>3</v>
      </c>
      <c r="B43" t="s">
        <v>136</v>
      </c>
      <c r="C43" t="s">
        <v>137</v>
      </c>
      <c r="D43" s="11" t="s">
        <v>138</v>
      </c>
      <c r="E43" t="s">
        <v>101</v>
      </c>
      <c r="F43" s="2">
        <v>150</v>
      </c>
      <c r="G43" s="19">
        <v>150</v>
      </c>
      <c r="H43" s="19">
        <v>850</v>
      </c>
      <c r="I43" s="19">
        <f t="shared" si="2"/>
        <v>700</v>
      </c>
      <c r="J43" t="s">
        <v>213</v>
      </c>
      <c r="K43" t="s">
        <v>214</v>
      </c>
      <c r="L43" t="s">
        <v>214</v>
      </c>
      <c r="M43" s="1">
        <v>46006</v>
      </c>
    </row>
    <row r="44" spans="1:14" ht="15.95">
      <c r="A44" s="20">
        <v>3</v>
      </c>
      <c r="B44" t="s">
        <v>139</v>
      </c>
      <c r="C44" t="s">
        <v>140</v>
      </c>
      <c r="D44" s="1">
        <v>46477</v>
      </c>
      <c r="E44" t="s">
        <v>101</v>
      </c>
      <c r="F44" s="2">
        <v>2562</v>
      </c>
      <c r="G44" s="19">
        <v>2562</v>
      </c>
      <c r="H44" s="19">
        <v>3150</v>
      </c>
      <c r="I44" s="19">
        <f t="shared" si="2"/>
        <v>588</v>
      </c>
      <c r="J44" t="s">
        <v>213</v>
      </c>
      <c r="K44" t="s">
        <v>214</v>
      </c>
      <c r="L44" t="s">
        <v>214</v>
      </c>
      <c r="M44" s="1">
        <v>46006</v>
      </c>
    </row>
    <row r="45" spans="1:14" ht="15.95">
      <c r="A45" s="20">
        <v>3</v>
      </c>
      <c r="B45" t="s">
        <v>141</v>
      </c>
      <c r="C45" t="s">
        <v>142</v>
      </c>
      <c r="D45" s="1">
        <v>46446</v>
      </c>
      <c r="E45" t="s">
        <v>101</v>
      </c>
      <c r="F45" s="2">
        <v>1000</v>
      </c>
      <c r="G45" s="19">
        <v>1000</v>
      </c>
      <c r="H45" s="19">
        <v>1825</v>
      </c>
      <c r="I45" s="19">
        <f t="shared" si="2"/>
        <v>825</v>
      </c>
      <c r="J45" t="s">
        <v>213</v>
      </c>
      <c r="K45" t="s">
        <v>214</v>
      </c>
      <c r="L45" t="s">
        <v>214</v>
      </c>
      <c r="M45" s="1">
        <v>46006</v>
      </c>
    </row>
    <row r="46" spans="1:14" ht="15.95">
      <c r="D46" s="1"/>
      <c r="F46" s="2"/>
      <c r="G46" s="19"/>
      <c r="H46" s="19"/>
      <c r="I46" s="19"/>
      <c r="M46" s="1"/>
    </row>
    <row r="47" spans="1:14" ht="15.95">
      <c r="A47" s="20">
        <v>3</v>
      </c>
      <c r="B47" t="s">
        <v>143</v>
      </c>
      <c r="C47" t="s">
        <v>144</v>
      </c>
      <c r="D47" s="10">
        <v>45839</v>
      </c>
      <c r="E47" t="s">
        <v>101</v>
      </c>
      <c r="F47" s="2">
        <v>808</v>
      </c>
      <c r="G47" s="19">
        <v>800</v>
      </c>
      <c r="H47" s="19">
        <v>1800</v>
      </c>
      <c r="I47" s="19">
        <f t="shared" si="2"/>
        <v>1000</v>
      </c>
      <c r="J47" t="s">
        <v>213</v>
      </c>
      <c r="K47" t="s">
        <v>214</v>
      </c>
      <c r="L47" t="s">
        <v>225</v>
      </c>
      <c r="M47" s="1">
        <v>46006</v>
      </c>
    </row>
    <row r="48" spans="1:14" ht="15.95">
      <c r="A48" s="20">
        <v>3</v>
      </c>
      <c r="B48" t="s">
        <v>145</v>
      </c>
      <c r="C48" t="s">
        <v>146</v>
      </c>
      <c r="D48" s="11" t="s">
        <v>100</v>
      </c>
      <c r="E48" t="s">
        <v>101</v>
      </c>
      <c r="F48" s="2">
        <v>1015</v>
      </c>
      <c r="G48" s="19">
        <v>1015</v>
      </c>
      <c r="H48" s="19">
        <v>2100</v>
      </c>
      <c r="I48" s="19">
        <f t="shared" si="2"/>
        <v>1085</v>
      </c>
      <c r="J48" t="s">
        <v>213</v>
      </c>
      <c r="K48" t="s">
        <v>214</v>
      </c>
      <c r="L48" t="s">
        <v>214</v>
      </c>
      <c r="M48" s="1">
        <v>46006</v>
      </c>
    </row>
    <row r="49" spans="1:13" ht="15.95">
      <c r="A49" s="20">
        <v>3</v>
      </c>
      <c r="B49" t="s">
        <v>147</v>
      </c>
      <c r="C49" t="s">
        <v>148</v>
      </c>
      <c r="D49" s="1">
        <v>46903</v>
      </c>
      <c r="E49" t="s">
        <v>101</v>
      </c>
      <c r="F49" s="2">
        <v>3000</v>
      </c>
      <c r="G49" s="19">
        <v>2550.27</v>
      </c>
      <c r="H49" s="19">
        <v>4060</v>
      </c>
      <c r="I49" s="19">
        <f t="shared" si="2"/>
        <v>1509.73</v>
      </c>
      <c r="J49" t="s">
        <v>213</v>
      </c>
      <c r="K49" t="s">
        <v>214</v>
      </c>
      <c r="L49" t="s">
        <v>214</v>
      </c>
      <c r="M49" s="1">
        <v>46006</v>
      </c>
    </row>
    <row r="50" spans="1:13" ht="15.95">
      <c r="A50" s="20">
        <v>3</v>
      </c>
      <c r="B50" t="s">
        <v>149</v>
      </c>
      <c r="C50" t="s">
        <v>150</v>
      </c>
      <c r="D50" s="11" t="s">
        <v>100</v>
      </c>
      <c r="E50" t="s">
        <v>101</v>
      </c>
      <c r="F50" s="2">
        <v>602</v>
      </c>
      <c r="G50" s="19">
        <v>602</v>
      </c>
      <c r="H50" s="19">
        <v>1810</v>
      </c>
      <c r="I50" s="19">
        <f t="shared" si="2"/>
        <v>1208</v>
      </c>
      <c r="J50" t="s">
        <v>213</v>
      </c>
      <c r="K50" t="s">
        <v>214</v>
      </c>
      <c r="L50" t="s">
        <v>214</v>
      </c>
      <c r="M50" s="1">
        <v>46006</v>
      </c>
    </row>
    <row r="51" spans="1:13" ht="15.95">
      <c r="A51" s="20">
        <v>3</v>
      </c>
      <c r="B51" t="s">
        <v>151</v>
      </c>
      <c r="C51" t="s">
        <v>152</v>
      </c>
      <c r="D51" s="11"/>
      <c r="F51" s="2">
        <v>337</v>
      </c>
      <c r="G51" s="19"/>
      <c r="H51" s="19"/>
      <c r="I51" s="19">
        <f t="shared" si="2"/>
        <v>0</v>
      </c>
      <c r="J51" t="s">
        <v>218</v>
      </c>
      <c r="M51" s="1">
        <v>46006</v>
      </c>
    </row>
    <row r="52" spans="1:13" ht="15.95">
      <c r="A52" s="20">
        <v>3</v>
      </c>
      <c r="B52" t="s">
        <v>153</v>
      </c>
      <c r="C52" s="15" t="s">
        <v>154</v>
      </c>
      <c r="D52" s="10">
        <v>46387</v>
      </c>
      <c r="E52" t="s">
        <v>31</v>
      </c>
      <c r="F52" s="2">
        <v>2100</v>
      </c>
      <c r="G52" s="19">
        <v>2100</v>
      </c>
      <c r="H52" s="19">
        <v>4185</v>
      </c>
      <c r="I52" s="19">
        <f t="shared" si="2"/>
        <v>2085</v>
      </c>
      <c r="J52" t="s">
        <v>213</v>
      </c>
      <c r="K52" t="s">
        <v>214</v>
      </c>
      <c r="L52" t="s">
        <v>215</v>
      </c>
      <c r="M52" s="1">
        <v>46006</v>
      </c>
    </row>
    <row r="53" spans="1:13" ht="15.95">
      <c r="A53" s="20">
        <v>3</v>
      </c>
      <c r="B53" t="s">
        <v>155</v>
      </c>
      <c r="C53" t="s">
        <v>156</v>
      </c>
      <c r="D53" s="16">
        <v>45748</v>
      </c>
      <c r="E53" t="s">
        <v>101</v>
      </c>
      <c r="F53" s="2">
        <v>1465</v>
      </c>
      <c r="G53" s="19">
        <v>1465</v>
      </c>
      <c r="H53" s="19">
        <v>2470</v>
      </c>
      <c r="I53" s="19">
        <f t="shared" si="2"/>
        <v>1005</v>
      </c>
      <c r="J53" t="s">
        <v>213</v>
      </c>
      <c r="K53" t="s">
        <v>214</v>
      </c>
      <c r="L53" t="s">
        <v>214</v>
      </c>
      <c r="M53" s="1">
        <v>46006</v>
      </c>
    </row>
    <row r="54" spans="1:13" ht="15.95">
      <c r="A54" s="20">
        <v>3</v>
      </c>
      <c r="B54" t="s">
        <v>157</v>
      </c>
      <c r="C54" t="s">
        <v>158</v>
      </c>
      <c r="D54" s="1">
        <v>46904</v>
      </c>
      <c r="E54" t="s">
        <v>31</v>
      </c>
      <c r="F54" s="2">
        <v>1960</v>
      </c>
      <c r="G54" s="19">
        <v>2025</v>
      </c>
      <c r="H54" s="19">
        <v>1825</v>
      </c>
      <c r="I54" s="19">
        <f t="shared" si="2"/>
        <v>-200</v>
      </c>
      <c r="J54" t="s">
        <v>213</v>
      </c>
      <c r="K54" t="s">
        <v>214</v>
      </c>
      <c r="L54" t="s">
        <v>215</v>
      </c>
      <c r="M54" s="1">
        <v>46006</v>
      </c>
    </row>
    <row r="55" spans="1:13" ht="15.95">
      <c r="A55" s="20">
        <v>3</v>
      </c>
      <c r="B55" t="s">
        <v>160</v>
      </c>
      <c r="C55" t="s">
        <v>201</v>
      </c>
      <c r="D55" s="11" t="s">
        <v>100</v>
      </c>
      <c r="E55" t="s">
        <v>31</v>
      </c>
      <c r="F55" s="2">
        <v>75</v>
      </c>
      <c r="G55" s="19">
        <v>70</v>
      </c>
      <c r="H55" s="19">
        <v>350</v>
      </c>
      <c r="I55" s="19">
        <f t="shared" si="2"/>
        <v>280</v>
      </c>
      <c r="J55" t="s">
        <v>213</v>
      </c>
      <c r="M55" s="1">
        <v>46006</v>
      </c>
    </row>
    <row r="56" spans="1:13" ht="15.95">
      <c r="A56" s="20">
        <v>3</v>
      </c>
      <c r="B56" t="s">
        <v>162</v>
      </c>
      <c r="C56" t="s">
        <v>163</v>
      </c>
      <c r="D56" s="1">
        <v>46538</v>
      </c>
      <c r="E56" t="s">
        <v>43</v>
      </c>
      <c r="F56" s="2">
        <v>950</v>
      </c>
      <c r="G56" s="2">
        <v>950</v>
      </c>
      <c r="H56" s="2">
        <v>950</v>
      </c>
      <c r="I56" s="19">
        <f t="shared" si="2"/>
        <v>0</v>
      </c>
      <c r="J56" t="s">
        <v>213</v>
      </c>
      <c r="K56" t="s">
        <v>214</v>
      </c>
      <c r="L56" t="s">
        <v>214</v>
      </c>
      <c r="M56" s="1">
        <v>46006</v>
      </c>
    </row>
    <row r="57" spans="1:13" ht="15.95">
      <c r="A57" s="20">
        <v>3</v>
      </c>
      <c r="B57" t="s">
        <v>164</v>
      </c>
      <c r="C57" t="s">
        <v>165</v>
      </c>
      <c r="D57" s="1">
        <v>46811</v>
      </c>
      <c r="E57" t="s">
        <v>101</v>
      </c>
      <c r="F57" s="2">
        <v>1881.75</v>
      </c>
      <c r="G57" s="19">
        <v>1881.75</v>
      </c>
      <c r="H57" s="19">
        <v>3170</v>
      </c>
      <c r="I57" s="19">
        <f t="shared" si="2"/>
        <v>1288.25</v>
      </c>
      <c r="J57" t="s">
        <v>213</v>
      </c>
      <c r="K57" t="s">
        <v>214</v>
      </c>
      <c r="L57" t="s">
        <v>214</v>
      </c>
      <c r="M57" s="1">
        <v>46006</v>
      </c>
    </row>
    <row r="58" spans="1:13" ht="15.95">
      <c r="A58" s="20">
        <v>3</v>
      </c>
      <c r="B58" t="s">
        <v>166</v>
      </c>
      <c r="C58" t="s">
        <v>167</v>
      </c>
      <c r="D58" s="1">
        <v>46965</v>
      </c>
      <c r="E58" t="s">
        <v>43</v>
      </c>
      <c r="F58" s="2">
        <v>1700</v>
      </c>
      <c r="G58" s="19">
        <v>1385</v>
      </c>
      <c r="H58" s="19">
        <v>1125</v>
      </c>
      <c r="I58" s="19">
        <f t="shared" si="2"/>
        <v>-260</v>
      </c>
      <c r="J58" t="s">
        <v>213</v>
      </c>
      <c r="K58" t="s">
        <v>214</v>
      </c>
      <c r="L58" t="s">
        <v>214</v>
      </c>
      <c r="M58" s="1">
        <v>46006</v>
      </c>
    </row>
    <row r="59" spans="1:13" ht="15.95">
      <c r="E59" s="24" t="s">
        <v>226</v>
      </c>
      <c r="F59" s="23">
        <f>SUM(F6:F58)</f>
        <v>507446</v>
      </c>
      <c r="G59" s="23">
        <f>SUM(G6:G58)</f>
        <v>365403.04000000004</v>
      </c>
      <c r="H59" s="23">
        <f>SUM(H6:H58)</f>
        <v>474994</v>
      </c>
      <c r="I59" s="23">
        <f>SUM(I6:I58)</f>
        <v>114305.71</v>
      </c>
      <c r="M59" s="1"/>
    </row>
    <row r="60" spans="1:13" ht="15.95">
      <c r="H60" s="28" t="s">
        <v>227</v>
      </c>
      <c r="I60" s="29">
        <f>I59*0.2</f>
        <v>22861.142000000003</v>
      </c>
    </row>
    <row r="61" spans="1:13" ht="15.95">
      <c r="D61" s="1"/>
      <c r="F61" s="2"/>
      <c r="G61" s="23"/>
      <c r="H61" s="23"/>
      <c r="I61" s="19"/>
      <c r="M61" s="1">
        <v>46006</v>
      </c>
    </row>
    <row r="62" spans="1:13" ht="15.95"/>
    <row r="63" spans="1:13" ht="15.95"/>
    <row r="64" spans="1:13" ht="15.95"/>
    <row r="65" ht="15.95"/>
    <row r="66" ht="15.95"/>
    <row r="67" ht="15.95"/>
    <row r="68" ht="15.95"/>
    <row r="69" ht="15.95"/>
    <row r="70" ht="15.95"/>
    <row r="71" ht="15.95"/>
    <row r="72" ht="15.95"/>
    <row r="73" ht="15.95"/>
    <row r="74" ht="15.95"/>
    <row r="75" ht="15.95"/>
    <row r="76" ht="15.95"/>
    <row r="77" ht="15.95"/>
    <row r="78" ht="15.95"/>
    <row r="79" ht="15.95"/>
    <row r="80" ht="15.95"/>
    <row r="81" ht="15.95"/>
    <row r="82" ht="15.95"/>
    <row r="83" ht="15.95"/>
    <row r="84" ht="15.95"/>
    <row r="85" ht="15.95"/>
  </sheetData>
  <autoFilter ref="A5:M61" xr:uid="{3467BB43-6018-4BCA-854F-C5C2A65F351C}"/>
  <conditionalFormatting sqref="I6:I58">
    <cfRule type="cellIs" dxfId="3" priority="4" operator="lessThan">
      <formula>0</formula>
    </cfRule>
    <cfRule type="cellIs" dxfId="2" priority="5" operator="greaterThan">
      <formula>0</formula>
    </cfRule>
  </conditionalFormatting>
  <conditionalFormatting sqref="I61">
    <cfRule type="cellIs" dxfId="1" priority="2" operator="lessThan">
      <formula>0</formula>
    </cfRule>
    <cfRule type="cellIs" dxfId="0" priority="3" operator="greaterThan">
      <formula>0</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A1C9B-BA9B-4A8F-A45A-D10F21CDAF4F}">
  <dimension ref="A1:L20"/>
  <sheetViews>
    <sheetView workbookViewId="0">
      <selection activeCell="N12" sqref="N12"/>
    </sheetView>
  </sheetViews>
  <sheetFormatPr defaultRowHeight="15.95"/>
  <cols>
    <col min="5" max="5" width="9.375" bestFit="1" customWidth="1"/>
    <col min="12" max="12" width="10.125" bestFit="1" customWidth="1"/>
  </cols>
  <sheetData>
    <row r="1" spans="1:12">
      <c r="A1" s="20"/>
      <c r="F1" s="24"/>
      <c r="G1" s="23"/>
      <c r="H1" s="23"/>
      <c r="I1" s="23"/>
      <c r="L1" s="1"/>
    </row>
    <row r="2" spans="1:12">
      <c r="A2" s="20"/>
      <c r="B2" s="14" t="s">
        <v>168</v>
      </c>
      <c r="L2" s="1"/>
    </row>
    <row r="3" spans="1:12">
      <c r="A3" s="20">
        <v>3</v>
      </c>
      <c r="B3" t="s">
        <v>169</v>
      </c>
      <c r="C3" t="s">
        <v>170</v>
      </c>
      <c r="D3" t="s">
        <v>100</v>
      </c>
      <c r="E3" s="2">
        <v>1300</v>
      </c>
      <c r="F3" t="s">
        <v>101</v>
      </c>
      <c r="J3" t="s">
        <v>218</v>
      </c>
      <c r="L3" s="1">
        <v>46006</v>
      </c>
    </row>
    <row r="4" spans="1:12">
      <c r="A4" s="20"/>
      <c r="B4" t="s">
        <v>171</v>
      </c>
      <c r="E4" s="2">
        <v>2650</v>
      </c>
      <c r="J4" t="s">
        <v>218</v>
      </c>
      <c r="L4" s="1">
        <v>46006</v>
      </c>
    </row>
    <row r="5" spans="1:12">
      <c r="A5" s="20"/>
      <c r="B5" t="s">
        <v>172</v>
      </c>
      <c r="E5" s="2">
        <v>370</v>
      </c>
      <c r="J5" t="s">
        <v>218</v>
      </c>
      <c r="L5" s="1">
        <v>46006</v>
      </c>
    </row>
    <row r="6" spans="1:12">
      <c r="A6" s="20"/>
      <c r="B6" t="s">
        <v>173</v>
      </c>
      <c r="E6" s="2">
        <v>500</v>
      </c>
      <c r="J6" t="s">
        <v>218</v>
      </c>
      <c r="L6" s="1">
        <v>46006</v>
      </c>
    </row>
    <row r="7" spans="1:12">
      <c r="A7" s="20"/>
      <c r="B7" t="s">
        <v>174</v>
      </c>
      <c r="E7" s="2">
        <v>2150</v>
      </c>
      <c r="J7" t="s">
        <v>218</v>
      </c>
      <c r="L7" s="1">
        <v>46006</v>
      </c>
    </row>
    <row r="8" spans="1:12">
      <c r="A8" s="20"/>
      <c r="B8" t="s">
        <v>175</v>
      </c>
      <c r="E8" s="2">
        <v>950</v>
      </c>
      <c r="J8" t="s">
        <v>218</v>
      </c>
      <c r="L8" s="1">
        <v>46006</v>
      </c>
    </row>
    <row r="9" spans="1:12">
      <c r="A9" s="20"/>
      <c r="B9" t="s">
        <v>176</v>
      </c>
      <c r="E9" s="2">
        <v>529</v>
      </c>
      <c r="J9" t="s">
        <v>218</v>
      </c>
      <c r="L9" s="1">
        <v>46006</v>
      </c>
    </row>
    <row r="10" spans="1:12">
      <c r="A10" s="20"/>
      <c r="L10" s="1"/>
    </row>
    <row r="11" spans="1:12">
      <c r="A11" s="20"/>
      <c r="B11" s="14" t="s">
        <v>177</v>
      </c>
      <c r="L11" s="1"/>
    </row>
    <row r="12" spans="1:12">
      <c r="A12" s="20"/>
      <c r="B12" t="s">
        <v>178</v>
      </c>
      <c r="E12" s="2">
        <v>3155</v>
      </c>
      <c r="J12" t="s">
        <v>218</v>
      </c>
      <c r="L12" s="1">
        <v>46006</v>
      </c>
    </row>
    <row r="13" spans="1:12">
      <c r="A13" s="20"/>
      <c r="B13" t="s">
        <v>180</v>
      </c>
      <c r="E13" s="2">
        <v>6235</v>
      </c>
      <c r="J13" t="s">
        <v>218</v>
      </c>
      <c r="L13" s="1">
        <v>46006</v>
      </c>
    </row>
    <row r="14" spans="1:12">
      <c r="A14" s="20"/>
      <c r="B14" t="s">
        <v>181</v>
      </c>
      <c r="E14" s="2">
        <v>4975</v>
      </c>
      <c r="J14" t="s">
        <v>218</v>
      </c>
      <c r="L14" s="1">
        <v>46006</v>
      </c>
    </row>
    <row r="15" spans="1:12">
      <c r="A15" s="20">
        <v>2</v>
      </c>
      <c r="B15" t="s">
        <v>182</v>
      </c>
      <c r="C15" t="s">
        <v>183</v>
      </c>
      <c r="D15" s="1">
        <v>46387</v>
      </c>
      <c r="E15" s="2">
        <v>3800</v>
      </c>
      <c r="J15" t="s">
        <v>218</v>
      </c>
      <c r="L15" s="1">
        <v>46006</v>
      </c>
    </row>
    <row r="16" spans="1:12">
      <c r="A16" s="20"/>
      <c r="D16" s="1"/>
      <c r="E16" s="2"/>
      <c r="L16" s="1"/>
    </row>
    <row r="17" spans="1:12">
      <c r="A17" s="20"/>
      <c r="B17" s="14" t="s">
        <v>184</v>
      </c>
      <c r="L17" s="1"/>
    </row>
    <row r="18" spans="1:12">
      <c r="A18" s="20"/>
      <c r="B18" t="s">
        <v>185</v>
      </c>
      <c r="J18" t="s">
        <v>218</v>
      </c>
      <c r="L18" s="1">
        <v>46006</v>
      </c>
    </row>
    <row r="19" spans="1:12">
      <c r="A19" s="20"/>
      <c r="B19" t="s">
        <v>166</v>
      </c>
      <c r="J19" t="s">
        <v>218</v>
      </c>
      <c r="L19" s="1">
        <v>46006</v>
      </c>
    </row>
    <row r="20" spans="1:12">
      <c r="A20" s="2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D58CA-3BF0-4FBC-9C3C-ECF68B958049}">
  <dimension ref="A2:A31"/>
  <sheetViews>
    <sheetView zoomScale="130" zoomScaleNormal="130" workbookViewId="0">
      <selection activeCell="A28" sqref="A28"/>
    </sheetView>
  </sheetViews>
  <sheetFormatPr defaultRowHeight="15.95"/>
  <cols>
    <col min="1" max="1" width="124.875" bestFit="1" customWidth="1"/>
  </cols>
  <sheetData>
    <row r="2" spans="1:1">
      <c r="A2" s="75" t="s">
        <v>228</v>
      </c>
    </row>
    <row r="3" spans="1:1" ht="17.45">
      <c r="A3" s="37" t="s">
        <v>229</v>
      </c>
    </row>
    <row r="4" spans="1:1">
      <c r="A4" s="36" t="s">
        <v>230</v>
      </c>
    </row>
    <row r="5" spans="1:1">
      <c r="A5" s="38" t="s">
        <v>231</v>
      </c>
    </row>
    <row r="6" spans="1:1">
      <c r="A6" s="36" t="s">
        <v>232</v>
      </c>
    </row>
    <row r="7" spans="1:1">
      <c r="A7" s="38" t="s">
        <v>233</v>
      </c>
    </row>
    <row r="8" spans="1:1">
      <c r="A8" s="40" t="s">
        <v>234</v>
      </c>
    </row>
    <row r="9" spans="1:1">
      <c r="A9" s="40"/>
    </row>
    <row r="10" spans="1:1">
      <c r="A10" s="40"/>
    </row>
    <row r="11" spans="1:1">
      <c r="A11" s="40"/>
    </row>
    <row r="12" spans="1:1">
      <c r="A12" s="40" t="s">
        <v>235</v>
      </c>
    </row>
    <row r="13" spans="1:1">
      <c r="A13" s="40" t="s">
        <v>236</v>
      </c>
    </row>
    <row r="14" spans="1:1">
      <c r="A14" s="39"/>
    </row>
    <row r="15" spans="1:1">
      <c r="A15" s="38"/>
    </row>
    <row r="16" spans="1:1">
      <c r="A16" s="102" t="s">
        <v>237</v>
      </c>
    </row>
    <row r="17" spans="1:1">
      <c r="A17" s="102" t="s">
        <v>238</v>
      </c>
    </row>
    <row r="18" spans="1:1">
      <c r="A18" s="102" t="s">
        <v>239</v>
      </c>
    </row>
    <row r="19" spans="1:1">
      <c r="A19" s="102" t="s">
        <v>240</v>
      </c>
    </row>
    <row r="20" spans="1:1">
      <c r="A20" s="102" t="s">
        <v>241</v>
      </c>
    </row>
    <row r="21" spans="1:1">
      <c r="A21" s="102" t="s">
        <v>242</v>
      </c>
    </row>
    <row r="22" spans="1:1">
      <c r="A22" s="102" t="s">
        <v>243</v>
      </c>
    </row>
    <row r="23" spans="1:1">
      <c r="A23" s="102" t="s">
        <v>244</v>
      </c>
    </row>
    <row r="24" spans="1:1">
      <c r="A24" s="102" t="s">
        <v>245</v>
      </c>
    </row>
    <row r="29" spans="1:1">
      <c r="A29" s="75" t="s">
        <v>246</v>
      </c>
    </row>
    <row r="30" spans="1:1">
      <c r="A30" s="75" t="s">
        <v>247</v>
      </c>
    </row>
    <row r="31" spans="1:1">
      <c r="A31" s="75" t="s">
        <v>248</v>
      </c>
    </row>
  </sheetData>
  <hyperlinks>
    <hyperlink ref="A2" r:id="rId1" display="https://acorntechservices-my.sharepoint.com/:w:/p/rwambolt/IQC0UT_rTrsrRKB5Pv9sWzv1Aalhff2Su1m6Xxm-rSHVeIM?e=vbI4FO" xr:uid="{1C58F0F2-B7D5-4ED9-8B4D-74B01816B2E2}"/>
    <hyperlink ref="A29" r:id="rId2" display="../../../../:i:/s/AcornFiles/IQC0whfhfjFaRYuWVLV5__XnAUHYhjq7cMFnDigDqCY0qaM?e=KA5aKK" xr:uid="{BAB2F085-16CC-4CE6-AB1D-96B8B7A196C2}"/>
    <hyperlink ref="A30" r:id="rId3" display="../../../../:x:/s/AcornFiles/IQB4K6OOEEk2S5qROzunerjdAaC--E-vqpfRzGpwXB31jQ0?e=uK7MtA" xr:uid="{88CA0FEC-6CDF-4D12-ABA5-E5F324B95463}"/>
    <hyperlink ref="A31" r:id="rId4" display="../../../../:x:/s/AcornFiles/IQBm_OVKaXheR6LvS3CpbEpAAQ2cQvfIImd-kyxPasKbGGs?e=l8wcPn" xr:uid="{9FB28BA7-D1A6-4B31-A4ED-8DCBFAD6798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74241-3309-49B7-BA82-5A6B2016DF84}">
  <dimension ref="A1:G170"/>
  <sheetViews>
    <sheetView zoomScale="175" zoomScaleNormal="175" workbookViewId="0">
      <selection activeCell="H3" sqref="H3"/>
    </sheetView>
  </sheetViews>
  <sheetFormatPr defaultRowHeight="15.95"/>
  <cols>
    <col min="2" max="2" width="34.625" bestFit="1" customWidth="1"/>
    <col min="3" max="4" width="11" customWidth="1"/>
    <col min="5" max="5" width="17" customWidth="1"/>
    <col min="6" max="6" width="18.375" style="82" customWidth="1"/>
    <col min="7" max="7" width="19.375" customWidth="1"/>
  </cols>
  <sheetData>
    <row r="1" spans="1:7">
      <c r="A1" s="76" t="s">
        <v>249</v>
      </c>
      <c r="B1" s="76" t="s">
        <v>250</v>
      </c>
      <c r="C1" s="76" t="s">
        <v>251</v>
      </c>
      <c r="D1" s="76" t="s">
        <v>252</v>
      </c>
      <c r="E1" s="76" t="s">
        <v>253</v>
      </c>
      <c r="F1" s="80" t="s">
        <v>254</v>
      </c>
      <c r="G1" s="84" t="s">
        <v>255</v>
      </c>
    </row>
    <row r="2" spans="1:7">
      <c r="A2" s="134"/>
      <c r="B2" s="135"/>
      <c r="C2" s="135"/>
      <c r="D2" s="135"/>
      <c r="E2" s="135"/>
      <c r="F2" s="136"/>
      <c r="G2" s="79"/>
    </row>
    <row r="3" spans="1:7">
      <c r="A3" s="86" t="s">
        <v>29</v>
      </c>
      <c r="B3" s="77" t="s">
        <v>256</v>
      </c>
      <c r="C3" s="78">
        <v>75</v>
      </c>
      <c r="D3" s="78">
        <v>75</v>
      </c>
      <c r="E3">
        <v>252</v>
      </c>
      <c r="F3" s="81"/>
      <c r="G3" s="83">
        <v>18900</v>
      </c>
    </row>
    <row r="4" spans="1:7">
      <c r="A4" s="137"/>
      <c r="B4" s="85" t="s">
        <v>257</v>
      </c>
      <c r="C4" s="78">
        <v>250</v>
      </c>
      <c r="D4" s="78">
        <v>250</v>
      </c>
      <c r="E4" s="77">
        <v>30</v>
      </c>
      <c r="F4" s="83"/>
      <c r="G4" s="83">
        <v>7500</v>
      </c>
    </row>
    <row r="5" spans="1:7">
      <c r="A5" s="138"/>
      <c r="B5" s="85" t="s">
        <v>258</v>
      </c>
      <c r="C5" s="77">
        <v>0</v>
      </c>
      <c r="D5" s="77">
        <v>0</v>
      </c>
      <c r="E5" s="77">
        <v>0</v>
      </c>
      <c r="F5" s="83"/>
      <c r="G5" s="83">
        <f t="shared" ref="G5:G12" si="0">(C5*E5)-F5</f>
        <v>0</v>
      </c>
    </row>
    <row r="6" spans="1:7">
      <c r="A6" s="138"/>
      <c r="B6" s="85" t="s">
        <v>259</v>
      </c>
      <c r="C6" s="77">
        <v>0</v>
      </c>
      <c r="D6" s="77">
        <v>0</v>
      </c>
      <c r="E6" s="77">
        <v>0</v>
      </c>
      <c r="F6" s="83"/>
      <c r="G6" s="83">
        <f t="shared" si="0"/>
        <v>0</v>
      </c>
    </row>
    <row r="7" spans="1:7">
      <c r="A7" s="138"/>
      <c r="B7" s="85" t="s">
        <v>260</v>
      </c>
      <c r="C7" s="78">
        <v>125</v>
      </c>
      <c r="D7" s="78">
        <v>125</v>
      </c>
      <c r="E7" s="77">
        <v>2</v>
      </c>
      <c r="F7" s="83"/>
      <c r="G7" s="83">
        <f t="shared" si="0"/>
        <v>250</v>
      </c>
    </row>
    <row r="8" spans="1:7">
      <c r="A8" s="138"/>
      <c r="B8" s="85" t="s">
        <v>261</v>
      </c>
      <c r="C8" s="78">
        <v>50</v>
      </c>
      <c r="D8" s="78">
        <v>50</v>
      </c>
      <c r="E8" s="77">
        <v>21</v>
      </c>
      <c r="F8" s="83"/>
      <c r="G8" s="83">
        <f t="shared" si="0"/>
        <v>1050</v>
      </c>
    </row>
    <row r="9" spans="1:7">
      <c r="A9" s="138"/>
      <c r="B9" s="85" t="s">
        <v>262</v>
      </c>
      <c r="C9" s="78">
        <v>25</v>
      </c>
      <c r="D9" s="78">
        <v>25</v>
      </c>
      <c r="E9" s="77">
        <v>5</v>
      </c>
      <c r="F9" s="83"/>
      <c r="G9" s="83">
        <f t="shared" si="0"/>
        <v>125</v>
      </c>
    </row>
    <row r="10" spans="1:7">
      <c r="A10" s="138"/>
      <c r="B10" s="85" t="s">
        <v>263</v>
      </c>
      <c r="C10" s="77"/>
      <c r="D10" s="77"/>
      <c r="E10" s="77"/>
      <c r="F10" s="83"/>
      <c r="G10" s="83">
        <f t="shared" si="0"/>
        <v>0</v>
      </c>
    </row>
    <row r="11" spans="1:7">
      <c r="A11" s="138"/>
      <c r="B11" s="85" t="s">
        <v>264</v>
      </c>
      <c r="C11" s="78">
        <v>38</v>
      </c>
      <c r="D11" s="78"/>
      <c r="E11" s="77"/>
      <c r="F11" s="83"/>
      <c r="G11" s="83">
        <f t="shared" si="0"/>
        <v>0</v>
      </c>
    </row>
    <row r="12" spans="1:7">
      <c r="A12" s="139"/>
      <c r="B12" s="85" t="s">
        <v>265</v>
      </c>
      <c r="C12" s="78">
        <v>300</v>
      </c>
      <c r="D12" s="78">
        <v>300</v>
      </c>
      <c r="E12" s="77">
        <v>16</v>
      </c>
      <c r="F12" s="83"/>
      <c r="G12" s="83">
        <f t="shared" si="0"/>
        <v>4800</v>
      </c>
    </row>
    <row r="14" spans="1:7">
      <c r="A14" s="86" t="s">
        <v>36</v>
      </c>
      <c r="B14" s="77" t="s">
        <v>256</v>
      </c>
      <c r="C14" s="78">
        <v>80</v>
      </c>
      <c r="D14" s="78">
        <v>80</v>
      </c>
      <c r="E14" s="77">
        <v>167</v>
      </c>
      <c r="F14" s="97"/>
      <c r="G14" s="81">
        <f t="shared" ref="G14:G23" si="1">(C14*E14)-F14</f>
        <v>13360</v>
      </c>
    </row>
    <row r="15" spans="1:7">
      <c r="A15" s="137"/>
      <c r="B15" s="85" t="s">
        <v>257</v>
      </c>
      <c r="C15" s="78">
        <v>250</v>
      </c>
      <c r="D15" s="78">
        <v>250</v>
      </c>
      <c r="E15" s="77">
        <v>18</v>
      </c>
      <c r="F15" s="83"/>
      <c r="G15" s="83">
        <f t="shared" si="1"/>
        <v>4500</v>
      </c>
    </row>
    <row r="16" spans="1:7">
      <c r="A16" s="138"/>
      <c r="B16" s="85" t="s">
        <v>258</v>
      </c>
      <c r="C16" s="77">
        <v>0</v>
      </c>
      <c r="D16" s="77">
        <v>0</v>
      </c>
      <c r="E16" s="77">
        <v>0</v>
      </c>
      <c r="F16" s="83"/>
      <c r="G16" s="83">
        <f t="shared" si="1"/>
        <v>0</v>
      </c>
    </row>
    <row r="17" spans="1:7">
      <c r="A17" s="138"/>
      <c r="B17" s="85" t="s">
        <v>259</v>
      </c>
      <c r="C17" s="77">
        <v>0</v>
      </c>
      <c r="D17" s="77">
        <v>0</v>
      </c>
      <c r="E17" s="77">
        <v>0</v>
      </c>
      <c r="F17" s="83"/>
      <c r="G17" s="83">
        <f t="shared" si="1"/>
        <v>0</v>
      </c>
    </row>
    <row r="18" spans="1:7">
      <c r="A18" s="138"/>
      <c r="B18" s="85" t="s">
        <v>260</v>
      </c>
      <c r="C18" s="78">
        <v>125</v>
      </c>
      <c r="D18" s="78">
        <v>125</v>
      </c>
      <c r="E18" s="77">
        <v>4</v>
      </c>
      <c r="F18" s="83"/>
      <c r="G18" s="83">
        <f t="shared" si="1"/>
        <v>500</v>
      </c>
    </row>
    <row r="19" spans="1:7">
      <c r="A19" s="138"/>
      <c r="B19" s="85" t="s">
        <v>261</v>
      </c>
      <c r="C19" s="78">
        <v>50</v>
      </c>
      <c r="D19" s="78">
        <v>50</v>
      </c>
      <c r="E19" s="77">
        <v>6</v>
      </c>
      <c r="F19" s="83"/>
      <c r="G19" s="83">
        <f t="shared" si="1"/>
        <v>300</v>
      </c>
    </row>
    <row r="20" spans="1:7">
      <c r="A20" s="138"/>
      <c r="B20" s="85" t="s">
        <v>262</v>
      </c>
      <c r="C20" s="78">
        <v>25</v>
      </c>
      <c r="D20" s="78">
        <v>25</v>
      </c>
      <c r="E20" s="77">
        <v>6</v>
      </c>
      <c r="F20" s="83"/>
      <c r="G20" s="83">
        <f t="shared" si="1"/>
        <v>150</v>
      </c>
    </row>
    <row r="21" spans="1:7">
      <c r="A21" s="138"/>
      <c r="B21" s="85" t="s">
        <v>263</v>
      </c>
      <c r="C21" s="77">
        <v>0</v>
      </c>
      <c r="D21" s="77">
        <v>0</v>
      </c>
      <c r="E21" s="77">
        <v>0</v>
      </c>
      <c r="F21" s="83"/>
      <c r="G21" s="83">
        <f t="shared" si="1"/>
        <v>0</v>
      </c>
    </row>
    <row r="22" spans="1:7">
      <c r="A22" s="138"/>
      <c r="B22" s="85" t="s">
        <v>264</v>
      </c>
      <c r="C22" s="78"/>
      <c r="D22" s="78"/>
      <c r="E22" s="77"/>
      <c r="F22" s="83"/>
      <c r="G22" s="83">
        <f t="shared" si="1"/>
        <v>0</v>
      </c>
    </row>
    <row r="23" spans="1:7">
      <c r="A23" s="139"/>
      <c r="B23" s="85" t="s">
        <v>265</v>
      </c>
      <c r="C23" s="78">
        <v>0</v>
      </c>
      <c r="D23" s="78">
        <v>0</v>
      </c>
      <c r="E23" s="77">
        <v>0</v>
      </c>
      <c r="F23" s="83"/>
      <c r="G23" s="83">
        <f t="shared" si="1"/>
        <v>0</v>
      </c>
    </row>
    <row r="25" spans="1:7">
      <c r="A25" s="86" t="s">
        <v>41</v>
      </c>
      <c r="B25" s="77" t="s">
        <v>256</v>
      </c>
      <c r="C25" s="78">
        <v>50</v>
      </c>
      <c r="D25" s="78">
        <v>50</v>
      </c>
      <c r="E25" s="77">
        <v>254</v>
      </c>
      <c r="F25" s="97"/>
      <c r="G25" s="81">
        <f>(C25*E25)-F25</f>
        <v>12700</v>
      </c>
    </row>
    <row r="26" spans="1:7">
      <c r="A26" s="137"/>
      <c r="B26" s="85" t="s">
        <v>266</v>
      </c>
      <c r="C26" s="78">
        <v>150</v>
      </c>
      <c r="D26" s="78">
        <v>150</v>
      </c>
      <c r="E26" s="77">
        <v>62</v>
      </c>
      <c r="F26" s="83"/>
      <c r="G26" s="83">
        <f>(C26*E26)-F26</f>
        <v>9300</v>
      </c>
    </row>
    <row r="27" spans="1:7">
      <c r="A27" s="138"/>
      <c r="B27" s="85" t="s">
        <v>267</v>
      </c>
      <c r="C27" s="78">
        <v>300</v>
      </c>
      <c r="D27" s="78">
        <v>300</v>
      </c>
      <c r="E27" s="77">
        <v>0</v>
      </c>
      <c r="F27" s="83"/>
      <c r="G27" s="83"/>
    </row>
    <row r="28" spans="1:7">
      <c r="A28" s="138"/>
      <c r="B28" s="85" t="s">
        <v>258</v>
      </c>
      <c r="C28" s="77">
        <v>0</v>
      </c>
      <c r="D28" s="77">
        <v>0</v>
      </c>
      <c r="E28" s="77">
        <v>0</v>
      </c>
      <c r="F28" s="83"/>
      <c r="G28" s="83">
        <f>(C28*E28)-F28</f>
        <v>0</v>
      </c>
    </row>
    <row r="29" spans="1:7">
      <c r="A29" s="138"/>
      <c r="B29" s="85" t="s">
        <v>259</v>
      </c>
      <c r="C29" s="78">
        <v>50</v>
      </c>
      <c r="D29" s="78">
        <v>50</v>
      </c>
      <c r="E29" s="77">
        <v>3</v>
      </c>
      <c r="F29" s="83"/>
      <c r="G29" s="83">
        <f>(C29*E29)-F29</f>
        <v>150</v>
      </c>
    </row>
    <row r="30" spans="1:7">
      <c r="A30" s="138"/>
      <c r="B30" s="85" t="s">
        <v>260</v>
      </c>
      <c r="C30" s="78">
        <v>150</v>
      </c>
      <c r="D30" s="78">
        <v>150</v>
      </c>
      <c r="E30" s="77">
        <v>7</v>
      </c>
      <c r="F30" s="83"/>
      <c r="G30" s="83">
        <f>(C30*E30)-F30</f>
        <v>1050</v>
      </c>
    </row>
    <row r="31" spans="1:7">
      <c r="A31" s="138"/>
      <c r="B31" s="85" t="s">
        <v>261</v>
      </c>
      <c r="C31" s="78">
        <v>50</v>
      </c>
      <c r="D31" s="78">
        <v>50</v>
      </c>
      <c r="E31" s="77">
        <v>35</v>
      </c>
      <c r="F31" s="83"/>
      <c r="G31" s="83">
        <f>(C31*E31)-F31</f>
        <v>1750</v>
      </c>
    </row>
    <row r="32" spans="1:7">
      <c r="A32" s="138"/>
      <c r="B32" s="85" t="s">
        <v>268</v>
      </c>
      <c r="C32" s="78">
        <v>5</v>
      </c>
      <c r="D32" s="78"/>
      <c r="E32" s="77"/>
      <c r="F32" s="83"/>
      <c r="G32" s="83"/>
    </row>
    <row r="33" spans="1:7">
      <c r="A33" s="138"/>
      <c r="B33" s="85" t="s">
        <v>269</v>
      </c>
      <c r="C33" s="78">
        <v>25</v>
      </c>
      <c r="D33" s="78"/>
      <c r="E33" s="77"/>
      <c r="F33" s="83"/>
      <c r="G33" s="83"/>
    </row>
    <row r="34" spans="1:7">
      <c r="A34" s="138"/>
      <c r="B34" s="85" t="s">
        <v>262</v>
      </c>
      <c r="C34" s="78">
        <v>35</v>
      </c>
      <c r="D34" s="78">
        <v>35</v>
      </c>
      <c r="E34" s="77">
        <v>15</v>
      </c>
      <c r="F34" s="83"/>
      <c r="G34" s="83">
        <f>(C34*E34)-F34</f>
        <v>525</v>
      </c>
    </row>
    <row r="35" spans="1:7">
      <c r="A35" s="138"/>
      <c r="B35" s="85" t="s">
        <v>263</v>
      </c>
      <c r="C35" s="77"/>
      <c r="D35" s="77"/>
      <c r="E35" s="77"/>
      <c r="F35" s="83"/>
      <c r="G35" s="83">
        <f>(C35*E35)-F35</f>
        <v>0</v>
      </c>
    </row>
    <row r="36" spans="1:7">
      <c r="A36" s="138"/>
      <c r="B36" s="85" t="s">
        <v>264</v>
      </c>
      <c r="C36" s="78"/>
      <c r="D36" s="78"/>
      <c r="E36" s="77"/>
      <c r="F36" s="83"/>
      <c r="G36" s="83">
        <f>(C36*E36)-F36</f>
        <v>0</v>
      </c>
    </row>
    <row r="37" spans="1:7">
      <c r="A37" s="139"/>
      <c r="B37" s="85" t="s">
        <v>265</v>
      </c>
      <c r="C37" s="78"/>
      <c r="D37" s="78"/>
      <c r="E37" s="77"/>
      <c r="F37" s="83"/>
      <c r="G37" s="83">
        <f>(C37*E37)-F37</f>
        <v>0</v>
      </c>
    </row>
    <row r="39" spans="1:7">
      <c r="A39" s="86" t="s">
        <v>46</v>
      </c>
      <c r="B39" s="77" t="s">
        <v>256</v>
      </c>
      <c r="C39" s="78">
        <v>70</v>
      </c>
      <c r="D39" s="78">
        <v>70</v>
      </c>
      <c r="E39" s="77">
        <v>150</v>
      </c>
      <c r="F39" s="97"/>
      <c r="G39" s="81">
        <f t="shared" ref="G39:G48" si="2">(C39*E39)-F39</f>
        <v>10500</v>
      </c>
    </row>
    <row r="40" spans="1:7">
      <c r="A40" s="137"/>
      <c r="B40" s="85" t="s">
        <v>257</v>
      </c>
      <c r="C40" s="78">
        <v>250</v>
      </c>
      <c r="D40" s="78">
        <v>250</v>
      </c>
      <c r="E40" s="77">
        <v>16</v>
      </c>
      <c r="F40" s="83"/>
      <c r="G40" s="83">
        <f t="shared" si="2"/>
        <v>4000</v>
      </c>
    </row>
    <row r="41" spans="1:7">
      <c r="A41" s="138"/>
      <c r="B41" s="85" t="s">
        <v>258</v>
      </c>
      <c r="C41" s="81">
        <v>500</v>
      </c>
      <c r="D41" s="81">
        <v>0</v>
      </c>
      <c r="E41" s="77">
        <v>0</v>
      </c>
      <c r="F41" s="83"/>
      <c r="G41" s="83">
        <f t="shared" si="2"/>
        <v>0</v>
      </c>
    </row>
    <row r="42" spans="1:7">
      <c r="A42" s="138"/>
      <c r="B42" s="85" t="s">
        <v>259</v>
      </c>
      <c r="C42" s="81">
        <v>500</v>
      </c>
      <c r="D42" s="81">
        <v>500</v>
      </c>
      <c r="E42" s="77">
        <v>1</v>
      </c>
      <c r="F42" s="83"/>
      <c r="G42" s="83">
        <f t="shared" si="2"/>
        <v>500</v>
      </c>
    </row>
    <row r="43" spans="1:7">
      <c r="A43" s="138"/>
      <c r="B43" s="85" t="s">
        <v>260</v>
      </c>
      <c r="C43" s="78">
        <v>125</v>
      </c>
      <c r="D43" s="78">
        <v>125</v>
      </c>
      <c r="E43" s="77">
        <v>1</v>
      </c>
      <c r="F43" s="83"/>
      <c r="G43" s="83">
        <f t="shared" si="2"/>
        <v>125</v>
      </c>
    </row>
    <row r="44" spans="1:7">
      <c r="A44" s="138"/>
      <c r="B44" s="85" t="s">
        <v>261</v>
      </c>
      <c r="C44" s="78">
        <v>75</v>
      </c>
      <c r="D44" s="78">
        <v>75</v>
      </c>
      <c r="E44" s="77">
        <v>9</v>
      </c>
      <c r="F44" s="83"/>
      <c r="G44" s="83">
        <f t="shared" si="2"/>
        <v>675</v>
      </c>
    </row>
    <row r="45" spans="1:7">
      <c r="A45" s="138"/>
      <c r="B45" s="85" t="s">
        <v>262</v>
      </c>
      <c r="C45" s="78">
        <v>35</v>
      </c>
      <c r="D45" s="78">
        <v>0</v>
      </c>
      <c r="E45" s="77">
        <v>0</v>
      </c>
      <c r="F45" s="83"/>
      <c r="G45" s="83">
        <f t="shared" si="2"/>
        <v>0</v>
      </c>
    </row>
    <row r="46" spans="1:7">
      <c r="A46" s="138"/>
      <c r="B46" s="85" t="s">
        <v>263</v>
      </c>
      <c r="C46" s="104">
        <v>3900</v>
      </c>
      <c r="D46" s="104">
        <v>3900</v>
      </c>
      <c r="E46" s="77">
        <v>1</v>
      </c>
      <c r="F46" s="83"/>
      <c r="G46" s="83">
        <f t="shared" si="2"/>
        <v>3900</v>
      </c>
    </row>
    <row r="47" spans="1:7">
      <c r="A47" s="138"/>
      <c r="B47" s="85" t="s">
        <v>264</v>
      </c>
      <c r="C47" s="78"/>
      <c r="D47" s="78"/>
      <c r="E47" s="77"/>
      <c r="F47" s="83"/>
      <c r="G47" s="83">
        <f t="shared" si="2"/>
        <v>0</v>
      </c>
    </row>
    <row r="48" spans="1:7">
      <c r="A48" s="139"/>
      <c r="B48" s="85" t="s">
        <v>265</v>
      </c>
      <c r="C48" s="78"/>
      <c r="D48" s="78"/>
      <c r="E48" s="77"/>
      <c r="F48" s="83"/>
      <c r="G48" s="83">
        <f t="shared" si="2"/>
        <v>0</v>
      </c>
    </row>
    <row r="50" spans="1:7">
      <c r="A50" s="86" t="s">
        <v>51</v>
      </c>
      <c r="B50" s="77" t="s">
        <v>256</v>
      </c>
      <c r="C50" s="78">
        <v>75</v>
      </c>
      <c r="D50" s="43"/>
      <c r="E50" s="77"/>
      <c r="F50" s="97"/>
      <c r="G50" s="81">
        <f t="shared" ref="G50:G59" si="3">(C50*E50)-F50</f>
        <v>0</v>
      </c>
    </row>
    <row r="51" spans="1:7">
      <c r="A51" s="137"/>
      <c r="B51" s="85" t="s">
        <v>257</v>
      </c>
      <c r="C51" s="78">
        <v>250</v>
      </c>
      <c r="E51" s="77"/>
      <c r="F51" s="83"/>
      <c r="G51" s="83">
        <f t="shared" si="3"/>
        <v>0</v>
      </c>
    </row>
    <row r="52" spans="1:7">
      <c r="A52" s="138"/>
      <c r="B52" s="85" t="s">
        <v>258</v>
      </c>
      <c r="C52" s="77"/>
      <c r="D52" s="77"/>
      <c r="E52" s="77"/>
      <c r="F52" s="83"/>
      <c r="G52" s="83">
        <f t="shared" si="3"/>
        <v>0</v>
      </c>
    </row>
    <row r="53" spans="1:7">
      <c r="A53" s="138"/>
      <c r="B53" s="85" t="s">
        <v>259</v>
      </c>
      <c r="C53" s="77"/>
      <c r="D53" s="77"/>
      <c r="E53" s="77"/>
      <c r="F53" s="83"/>
      <c r="G53" s="83">
        <f t="shared" si="3"/>
        <v>0</v>
      </c>
    </row>
    <row r="54" spans="1:7">
      <c r="A54" s="138"/>
      <c r="B54" s="85" t="s">
        <v>260</v>
      </c>
      <c r="C54" s="78">
        <v>125</v>
      </c>
      <c r="D54" s="78"/>
      <c r="E54" s="77"/>
      <c r="F54" s="83"/>
      <c r="G54" s="83">
        <f t="shared" si="3"/>
        <v>0</v>
      </c>
    </row>
    <row r="55" spans="1:7">
      <c r="A55" s="138"/>
      <c r="B55" s="85" t="s">
        <v>261</v>
      </c>
      <c r="C55" s="78">
        <v>50</v>
      </c>
      <c r="D55" s="78"/>
      <c r="E55" s="77"/>
      <c r="F55" s="83"/>
      <c r="G55" s="83">
        <f t="shared" si="3"/>
        <v>0</v>
      </c>
    </row>
    <row r="56" spans="1:7">
      <c r="A56" s="138"/>
      <c r="B56" s="85" t="s">
        <v>262</v>
      </c>
      <c r="C56" s="78">
        <v>25</v>
      </c>
      <c r="D56" s="78"/>
      <c r="E56" s="77"/>
      <c r="F56" s="83"/>
      <c r="G56" s="83">
        <f t="shared" si="3"/>
        <v>0</v>
      </c>
    </row>
    <row r="57" spans="1:7">
      <c r="A57" s="138"/>
      <c r="B57" s="85" t="s">
        <v>263</v>
      </c>
      <c r="C57" s="77"/>
      <c r="D57" s="77"/>
      <c r="E57" s="77"/>
      <c r="F57" s="83"/>
      <c r="G57" s="83">
        <f t="shared" si="3"/>
        <v>0</v>
      </c>
    </row>
    <row r="58" spans="1:7">
      <c r="A58" s="138"/>
      <c r="B58" s="85" t="s">
        <v>264</v>
      </c>
      <c r="C58" s="78">
        <v>38</v>
      </c>
      <c r="D58" s="78"/>
      <c r="E58" s="77"/>
      <c r="F58" s="83"/>
      <c r="G58" s="83">
        <f t="shared" si="3"/>
        <v>0</v>
      </c>
    </row>
    <row r="59" spans="1:7">
      <c r="A59" s="139"/>
      <c r="B59" s="85" t="s">
        <v>265</v>
      </c>
      <c r="C59" s="78">
        <v>300</v>
      </c>
      <c r="D59" s="78"/>
      <c r="E59" s="77"/>
      <c r="F59" s="83"/>
      <c r="G59" s="83">
        <f t="shared" si="3"/>
        <v>0</v>
      </c>
    </row>
    <row r="61" spans="1:7">
      <c r="A61" s="86" t="s">
        <v>53</v>
      </c>
      <c r="B61" s="77" t="s">
        <v>256</v>
      </c>
      <c r="C61" s="78">
        <v>50</v>
      </c>
      <c r="D61" s="78">
        <v>50</v>
      </c>
      <c r="E61" s="77">
        <v>239</v>
      </c>
      <c r="F61" s="97"/>
      <c r="G61" s="81">
        <f>(C61*E61)-F61</f>
        <v>11950</v>
      </c>
    </row>
    <row r="62" spans="1:7">
      <c r="A62" s="137"/>
      <c r="B62" s="85" t="s">
        <v>257</v>
      </c>
      <c r="C62" s="78">
        <v>250</v>
      </c>
      <c r="D62" s="78">
        <v>225</v>
      </c>
      <c r="E62" s="77">
        <v>9</v>
      </c>
      <c r="F62" s="83"/>
      <c r="G62" s="83">
        <f>(C62*E62)-F62</f>
        <v>2250</v>
      </c>
    </row>
    <row r="63" spans="1:7">
      <c r="A63" s="138"/>
      <c r="B63" s="85" t="s">
        <v>258</v>
      </c>
      <c r="C63" s="77"/>
      <c r="D63" s="77"/>
      <c r="E63" s="77">
        <v>0</v>
      </c>
      <c r="F63" s="83"/>
      <c r="G63" s="83">
        <f>(C63*E63)-F63</f>
        <v>0</v>
      </c>
    </row>
    <row r="64" spans="1:7">
      <c r="A64" s="138"/>
      <c r="B64" s="85" t="s">
        <v>259</v>
      </c>
      <c r="C64" s="77"/>
      <c r="D64" s="77"/>
      <c r="E64" s="77">
        <v>0</v>
      </c>
      <c r="F64" s="83"/>
      <c r="G64" s="83">
        <f>(C64*E64)-F64</f>
        <v>0</v>
      </c>
    </row>
    <row r="65" spans="1:7">
      <c r="A65" s="138"/>
      <c r="B65" s="85" t="s">
        <v>260</v>
      </c>
      <c r="C65" s="78">
        <v>225</v>
      </c>
      <c r="D65" s="78"/>
      <c r="E65" s="77">
        <v>1</v>
      </c>
      <c r="F65" s="83"/>
      <c r="G65" s="83">
        <f>(C65*E65)-F65</f>
        <v>225</v>
      </c>
    </row>
    <row r="66" spans="1:7">
      <c r="A66" s="138"/>
      <c r="B66" s="85" t="s">
        <v>270</v>
      </c>
      <c r="C66" s="78">
        <v>20</v>
      </c>
      <c r="D66" s="78"/>
      <c r="E66" s="77">
        <v>2</v>
      </c>
      <c r="F66" s="83"/>
      <c r="G66" s="83">
        <v>40</v>
      </c>
    </row>
    <row r="67" spans="1:7">
      <c r="A67" s="138"/>
      <c r="B67" s="85" t="s">
        <v>261</v>
      </c>
      <c r="C67" s="78">
        <v>50</v>
      </c>
      <c r="D67" s="78"/>
      <c r="E67" s="77">
        <v>19</v>
      </c>
      <c r="F67" s="83"/>
      <c r="G67" s="83">
        <f>(C67*E67)-F67</f>
        <v>950</v>
      </c>
    </row>
    <row r="68" spans="1:7">
      <c r="A68" s="138"/>
      <c r="B68" s="85" t="s">
        <v>262</v>
      </c>
      <c r="C68" s="78">
        <v>25</v>
      </c>
      <c r="D68" s="78"/>
      <c r="E68" s="77">
        <v>7</v>
      </c>
      <c r="F68" s="83"/>
      <c r="G68" s="83">
        <f>(C68*E68)-F68</f>
        <v>175</v>
      </c>
    </row>
    <row r="69" spans="1:7">
      <c r="A69" s="138"/>
      <c r="B69" s="85" t="s">
        <v>263</v>
      </c>
      <c r="C69" s="77"/>
      <c r="D69" s="104">
        <v>5000</v>
      </c>
      <c r="E69" s="77">
        <v>1</v>
      </c>
      <c r="F69" s="83"/>
      <c r="G69" s="104">
        <v>5000</v>
      </c>
    </row>
    <row r="70" spans="1:7">
      <c r="A70" s="138"/>
      <c r="B70" s="85" t="s">
        <v>264</v>
      </c>
      <c r="C70" s="78">
        <v>38</v>
      </c>
      <c r="D70" s="78"/>
      <c r="E70" s="77"/>
      <c r="F70" s="83"/>
      <c r="G70" s="83">
        <f>(C70*E70)-F70</f>
        <v>0</v>
      </c>
    </row>
    <row r="71" spans="1:7">
      <c r="A71" s="139"/>
      <c r="B71" s="85" t="s">
        <v>265</v>
      </c>
      <c r="C71" s="78">
        <v>300</v>
      </c>
      <c r="D71" s="78"/>
      <c r="E71" s="77">
        <v>0</v>
      </c>
      <c r="F71" s="83"/>
      <c r="G71" s="83">
        <f>(C71*E71)-F71</f>
        <v>0</v>
      </c>
    </row>
    <row r="73" spans="1:7">
      <c r="A73" s="86" t="s">
        <v>58</v>
      </c>
      <c r="B73" s="77" t="s">
        <v>256</v>
      </c>
      <c r="C73" s="78">
        <v>75</v>
      </c>
      <c r="D73" s="78">
        <v>80</v>
      </c>
      <c r="E73" s="77">
        <v>82</v>
      </c>
      <c r="F73" s="81"/>
      <c r="G73" s="81">
        <f t="shared" ref="G73:G82" si="4">(C73*E73)-F73</f>
        <v>6150</v>
      </c>
    </row>
    <row r="74" spans="1:7">
      <c r="A74" s="137"/>
      <c r="B74" s="85" t="s">
        <v>257</v>
      </c>
      <c r="C74" s="78">
        <v>250</v>
      </c>
      <c r="D74" s="78">
        <v>250</v>
      </c>
      <c r="E74" s="77">
        <v>36</v>
      </c>
      <c r="F74" s="83"/>
      <c r="G74" s="83">
        <f t="shared" si="4"/>
        <v>9000</v>
      </c>
    </row>
    <row r="75" spans="1:7">
      <c r="A75" s="138"/>
      <c r="B75" s="85" t="s">
        <v>258</v>
      </c>
      <c r="C75" s="78">
        <v>250</v>
      </c>
      <c r="D75" s="78">
        <v>250</v>
      </c>
      <c r="E75" s="77">
        <v>1</v>
      </c>
      <c r="F75" s="83"/>
      <c r="G75" s="83">
        <f t="shared" si="4"/>
        <v>250</v>
      </c>
    </row>
    <row r="76" spans="1:7">
      <c r="A76" s="138"/>
      <c r="B76" s="85" t="s">
        <v>259</v>
      </c>
      <c r="C76" s="78">
        <v>50</v>
      </c>
      <c r="D76" s="78">
        <v>50</v>
      </c>
      <c r="E76" s="77">
        <v>1</v>
      </c>
      <c r="F76" s="83"/>
      <c r="G76" s="83">
        <f t="shared" si="4"/>
        <v>50</v>
      </c>
    </row>
    <row r="77" spans="1:7">
      <c r="A77" s="138"/>
      <c r="B77" s="85" t="s">
        <v>260</v>
      </c>
      <c r="C77" s="78">
        <v>125</v>
      </c>
      <c r="D77" s="78">
        <v>125</v>
      </c>
      <c r="E77" s="77">
        <v>3</v>
      </c>
      <c r="F77" s="83"/>
      <c r="G77" s="83">
        <f t="shared" si="4"/>
        <v>375</v>
      </c>
    </row>
    <row r="78" spans="1:7">
      <c r="A78" s="138"/>
      <c r="B78" s="85" t="s">
        <v>261</v>
      </c>
      <c r="C78" s="78">
        <v>50</v>
      </c>
      <c r="D78" s="78">
        <v>50</v>
      </c>
      <c r="E78" s="77">
        <v>30</v>
      </c>
      <c r="F78" s="83"/>
      <c r="G78" s="83">
        <f t="shared" si="4"/>
        <v>1500</v>
      </c>
    </row>
    <row r="79" spans="1:7">
      <c r="A79" s="138"/>
      <c r="B79" s="85" t="s">
        <v>262</v>
      </c>
      <c r="C79" s="78">
        <v>25</v>
      </c>
      <c r="D79" s="78">
        <v>35</v>
      </c>
      <c r="E79" s="77">
        <v>14</v>
      </c>
      <c r="F79" s="83"/>
      <c r="G79" s="83">
        <f t="shared" si="4"/>
        <v>350</v>
      </c>
    </row>
    <row r="80" spans="1:7">
      <c r="A80" s="138"/>
      <c r="B80" s="85" t="s">
        <v>263</v>
      </c>
      <c r="C80" s="77"/>
      <c r="D80" s="104">
        <v>8700</v>
      </c>
      <c r="E80" s="77">
        <v>1</v>
      </c>
      <c r="F80" s="83"/>
      <c r="G80" s="83">
        <f t="shared" si="4"/>
        <v>0</v>
      </c>
    </row>
    <row r="81" spans="1:7">
      <c r="A81" s="138"/>
      <c r="B81" s="85" t="s">
        <v>264</v>
      </c>
      <c r="C81" s="78">
        <v>38</v>
      </c>
      <c r="D81" s="78">
        <v>18</v>
      </c>
      <c r="E81" s="77"/>
      <c r="F81" s="83"/>
      <c r="G81" s="83">
        <f t="shared" si="4"/>
        <v>0</v>
      </c>
    </row>
    <row r="82" spans="1:7">
      <c r="A82" s="139"/>
      <c r="B82" s="85" t="s">
        <v>265</v>
      </c>
      <c r="C82" s="78">
        <v>300</v>
      </c>
      <c r="D82" s="78">
        <v>200</v>
      </c>
      <c r="E82" s="77">
        <v>4</v>
      </c>
      <c r="F82" s="83"/>
      <c r="G82" s="83">
        <f t="shared" si="4"/>
        <v>1200</v>
      </c>
    </row>
    <row r="84" spans="1:7">
      <c r="A84" s="86" t="s">
        <v>62</v>
      </c>
      <c r="B84" s="77" t="s">
        <v>256</v>
      </c>
      <c r="C84" s="78">
        <v>75</v>
      </c>
      <c r="D84" s="78">
        <v>75</v>
      </c>
      <c r="E84" s="77">
        <v>277</v>
      </c>
      <c r="F84" s="97"/>
      <c r="G84" s="81">
        <f t="shared" ref="G84:G93" si="5">(C84*E84)-F84</f>
        <v>20775</v>
      </c>
    </row>
    <row r="85" spans="1:7">
      <c r="A85" s="137"/>
      <c r="B85" s="85" t="s">
        <v>257</v>
      </c>
      <c r="C85" s="78">
        <v>250</v>
      </c>
      <c r="D85" s="78">
        <v>250</v>
      </c>
      <c r="E85" s="77">
        <v>53</v>
      </c>
      <c r="F85" s="83"/>
      <c r="G85" s="83">
        <f t="shared" si="5"/>
        <v>13250</v>
      </c>
    </row>
    <row r="86" spans="1:7">
      <c r="A86" s="138"/>
      <c r="B86" s="85" t="s">
        <v>258</v>
      </c>
      <c r="C86" s="77"/>
      <c r="D86" s="104">
        <v>500</v>
      </c>
      <c r="E86" s="77">
        <v>1</v>
      </c>
      <c r="F86" s="83"/>
      <c r="G86" s="83">
        <f t="shared" si="5"/>
        <v>0</v>
      </c>
    </row>
    <row r="87" spans="1:7">
      <c r="A87" s="138"/>
      <c r="B87" s="85" t="s">
        <v>259</v>
      </c>
      <c r="C87" s="104">
        <v>50</v>
      </c>
      <c r="D87" s="104">
        <v>250</v>
      </c>
      <c r="E87" s="77"/>
      <c r="F87" s="83"/>
      <c r="G87" s="83">
        <f t="shared" si="5"/>
        <v>0</v>
      </c>
    </row>
    <row r="88" spans="1:7">
      <c r="A88" s="138"/>
      <c r="B88" s="85" t="s">
        <v>260</v>
      </c>
      <c r="C88" s="78">
        <v>125</v>
      </c>
      <c r="D88" s="78">
        <v>125</v>
      </c>
      <c r="E88">
        <v>10</v>
      </c>
      <c r="F88" s="83"/>
      <c r="G88" s="83">
        <f>(C88*E89)-F88</f>
        <v>6000</v>
      </c>
    </row>
    <row r="89" spans="1:7">
      <c r="A89" s="138"/>
      <c r="B89" s="85" t="s">
        <v>261</v>
      </c>
      <c r="C89" s="78">
        <v>50</v>
      </c>
      <c r="D89" s="78">
        <v>50</v>
      </c>
      <c r="E89" s="77">
        <v>48</v>
      </c>
      <c r="F89" s="83"/>
      <c r="G89" s="106">
        <f>C89*E89</f>
        <v>2400</v>
      </c>
    </row>
    <row r="90" spans="1:7">
      <c r="A90" s="138"/>
      <c r="B90" s="85" t="s">
        <v>262</v>
      </c>
      <c r="C90" s="78">
        <v>25</v>
      </c>
      <c r="D90" s="78">
        <v>25</v>
      </c>
      <c r="E90" s="77">
        <v>1</v>
      </c>
      <c r="F90" s="83"/>
      <c r="G90" s="83">
        <f>(C90*E90)-F90</f>
        <v>25</v>
      </c>
    </row>
    <row r="91" spans="1:7">
      <c r="A91" s="138"/>
      <c r="B91" s="85" t="s">
        <v>263</v>
      </c>
      <c r="C91" s="77"/>
      <c r="D91" s="77"/>
      <c r="E91" s="77"/>
      <c r="F91" s="83"/>
      <c r="G91" s="83">
        <f t="shared" si="5"/>
        <v>0</v>
      </c>
    </row>
    <row r="92" spans="1:7">
      <c r="A92" s="138"/>
      <c r="B92" s="85" t="s">
        <v>264</v>
      </c>
      <c r="C92" s="78">
        <v>38</v>
      </c>
      <c r="D92" s="78"/>
      <c r="E92" s="77"/>
      <c r="F92" s="83"/>
      <c r="G92" s="83">
        <f t="shared" si="5"/>
        <v>0</v>
      </c>
    </row>
    <row r="93" spans="1:7">
      <c r="A93" s="139"/>
      <c r="B93" s="85" t="s">
        <v>265</v>
      </c>
      <c r="C93" s="78">
        <v>300</v>
      </c>
      <c r="D93" s="78"/>
      <c r="E93" s="77"/>
      <c r="F93" s="83"/>
      <c r="G93" s="83">
        <f t="shared" si="5"/>
        <v>0</v>
      </c>
    </row>
    <row r="95" spans="1:7">
      <c r="A95" s="86" t="s">
        <v>66</v>
      </c>
      <c r="B95" s="77" t="s">
        <v>256</v>
      </c>
      <c r="C95" s="78">
        <v>75</v>
      </c>
      <c r="D95" s="78"/>
      <c r="E95" s="77"/>
      <c r="F95" s="97"/>
      <c r="G95" s="81">
        <f t="shared" ref="G95:G104" si="6">(C95*E95)-F95</f>
        <v>0</v>
      </c>
    </row>
    <row r="96" spans="1:7">
      <c r="A96" s="137"/>
      <c r="B96" s="85" t="s">
        <v>257</v>
      </c>
      <c r="C96" s="78">
        <v>250</v>
      </c>
      <c r="D96" s="78"/>
      <c r="E96" s="77"/>
      <c r="F96" s="83"/>
      <c r="G96" s="83">
        <f t="shared" si="6"/>
        <v>0</v>
      </c>
    </row>
    <row r="97" spans="1:7">
      <c r="A97" s="138"/>
      <c r="B97" s="85" t="s">
        <v>258</v>
      </c>
      <c r="C97" s="77"/>
      <c r="D97" s="77"/>
      <c r="E97" s="77"/>
      <c r="F97" s="83"/>
      <c r="G97" s="83">
        <f t="shared" si="6"/>
        <v>0</v>
      </c>
    </row>
    <row r="98" spans="1:7">
      <c r="A98" s="138"/>
      <c r="B98" s="85" t="s">
        <v>259</v>
      </c>
      <c r="C98" s="77"/>
      <c r="D98" s="77"/>
      <c r="E98" s="77"/>
      <c r="F98" s="83"/>
      <c r="G98" s="83">
        <f t="shared" si="6"/>
        <v>0</v>
      </c>
    </row>
    <row r="99" spans="1:7">
      <c r="A99" s="138"/>
      <c r="B99" s="85" t="s">
        <v>260</v>
      </c>
      <c r="C99" s="78">
        <v>125</v>
      </c>
      <c r="D99" s="78"/>
      <c r="E99" s="77"/>
      <c r="F99" s="83"/>
      <c r="G99" s="83">
        <f t="shared" si="6"/>
        <v>0</v>
      </c>
    </row>
    <row r="100" spans="1:7">
      <c r="A100" s="138"/>
      <c r="B100" s="85" t="s">
        <v>261</v>
      </c>
      <c r="C100" s="78">
        <v>50</v>
      </c>
      <c r="D100" s="78"/>
      <c r="E100" s="77"/>
      <c r="F100" s="83"/>
      <c r="G100" s="83">
        <f t="shared" si="6"/>
        <v>0</v>
      </c>
    </row>
    <row r="101" spans="1:7">
      <c r="A101" s="138"/>
      <c r="B101" s="85" t="s">
        <v>262</v>
      </c>
      <c r="C101" s="78">
        <v>25</v>
      </c>
      <c r="D101" s="78"/>
      <c r="E101" s="77"/>
      <c r="F101" s="83"/>
      <c r="G101" s="83">
        <f t="shared" si="6"/>
        <v>0</v>
      </c>
    </row>
    <row r="102" spans="1:7">
      <c r="A102" s="138"/>
      <c r="B102" s="85" t="s">
        <v>263</v>
      </c>
      <c r="C102" s="77"/>
      <c r="D102" s="77"/>
      <c r="E102" s="77"/>
      <c r="F102" s="83"/>
      <c r="G102" s="83">
        <f t="shared" si="6"/>
        <v>0</v>
      </c>
    </row>
    <row r="103" spans="1:7">
      <c r="A103" s="138"/>
      <c r="B103" s="85" t="s">
        <v>264</v>
      </c>
      <c r="C103" s="78">
        <v>38</v>
      </c>
      <c r="D103" s="78"/>
      <c r="E103" s="77"/>
      <c r="F103" s="83"/>
      <c r="G103" s="83">
        <f t="shared" si="6"/>
        <v>0</v>
      </c>
    </row>
    <row r="104" spans="1:7">
      <c r="A104" s="139"/>
      <c r="B104" s="85" t="s">
        <v>265</v>
      </c>
      <c r="C104" s="78">
        <v>300</v>
      </c>
      <c r="D104" s="78"/>
      <c r="E104" s="77"/>
      <c r="F104" s="83"/>
      <c r="G104" s="83">
        <f t="shared" si="6"/>
        <v>0</v>
      </c>
    </row>
    <row r="106" spans="1:7">
      <c r="A106" s="86" t="s">
        <v>69</v>
      </c>
      <c r="B106" s="77" t="s">
        <v>256</v>
      </c>
      <c r="C106" s="78">
        <v>75</v>
      </c>
      <c r="D106" s="78">
        <v>60</v>
      </c>
      <c r="E106" s="77">
        <v>195</v>
      </c>
      <c r="F106" s="97"/>
      <c r="G106" s="81">
        <f t="shared" ref="G106:G115" si="7">(C106*E106)-F106</f>
        <v>14625</v>
      </c>
    </row>
    <row r="107" spans="1:7">
      <c r="A107" s="137"/>
      <c r="B107" s="85" t="s">
        <v>257</v>
      </c>
      <c r="C107" s="78">
        <v>250</v>
      </c>
      <c r="D107" s="78">
        <v>250</v>
      </c>
      <c r="E107" s="77">
        <v>31</v>
      </c>
      <c r="F107" s="83"/>
      <c r="G107" s="83">
        <f t="shared" si="7"/>
        <v>7750</v>
      </c>
    </row>
    <row r="108" spans="1:7">
      <c r="A108" s="138"/>
      <c r="B108" s="85" t="s">
        <v>258</v>
      </c>
      <c r="C108" s="77"/>
      <c r="D108" s="77"/>
      <c r="E108" s="77">
        <v>0</v>
      </c>
      <c r="F108" s="83"/>
      <c r="G108" s="83">
        <f t="shared" si="7"/>
        <v>0</v>
      </c>
    </row>
    <row r="109" spans="1:7">
      <c r="A109" s="138"/>
      <c r="B109" s="85" t="s">
        <v>259</v>
      </c>
      <c r="C109" s="77"/>
      <c r="D109" s="77"/>
      <c r="E109" s="77">
        <v>0</v>
      </c>
      <c r="F109" s="83"/>
      <c r="G109" s="83">
        <f t="shared" si="7"/>
        <v>0</v>
      </c>
    </row>
    <row r="110" spans="1:7">
      <c r="A110" s="138"/>
      <c r="B110" s="85" t="s">
        <v>260</v>
      </c>
      <c r="C110" s="78">
        <v>125</v>
      </c>
      <c r="D110" s="78"/>
      <c r="E110" s="77">
        <v>4</v>
      </c>
      <c r="F110" s="83"/>
      <c r="G110" s="83">
        <f t="shared" si="7"/>
        <v>500</v>
      </c>
    </row>
    <row r="111" spans="1:7">
      <c r="A111" s="138"/>
      <c r="B111" s="85" t="s">
        <v>261</v>
      </c>
      <c r="C111" s="78">
        <v>50</v>
      </c>
      <c r="D111" s="78"/>
      <c r="E111" s="77">
        <v>18</v>
      </c>
      <c r="F111" s="83"/>
      <c r="G111" s="83">
        <f t="shared" si="7"/>
        <v>900</v>
      </c>
    </row>
    <row r="112" spans="1:7">
      <c r="A112" s="138"/>
      <c r="B112" s="85" t="s">
        <v>262</v>
      </c>
      <c r="C112" s="78">
        <v>25</v>
      </c>
      <c r="D112" s="78"/>
      <c r="E112" s="77">
        <v>0</v>
      </c>
      <c r="F112" s="83"/>
      <c r="G112" s="83">
        <f t="shared" si="7"/>
        <v>0</v>
      </c>
    </row>
    <row r="113" spans="1:7">
      <c r="A113" s="138"/>
      <c r="B113" s="85" t="s">
        <v>263</v>
      </c>
      <c r="C113" s="77"/>
      <c r="D113" s="104">
        <v>5500</v>
      </c>
      <c r="E113" s="77">
        <v>1</v>
      </c>
      <c r="F113" s="83"/>
      <c r="G113" s="83">
        <f t="shared" si="7"/>
        <v>0</v>
      </c>
    </row>
    <row r="114" spans="1:7">
      <c r="A114" s="138"/>
      <c r="B114" s="85" t="s">
        <v>264</v>
      </c>
      <c r="C114" s="78">
        <v>38</v>
      </c>
      <c r="D114" s="78"/>
      <c r="E114" s="77"/>
      <c r="F114" s="83"/>
      <c r="G114" s="83">
        <f t="shared" si="7"/>
        <v>0</v>
      </c>
    </row>
    <row r="115" spans="1:7">
      <c r="A115" s="139"/>
      <c r="B115" s="85" t="s">
        <v>265</v>
      </c>
      <c r="C115" s="78">
        <v>300</v>
      </c>
      <c r="D115" s="78"/>
      <c r="E115" s="77"/>
      <c r="F115" s="83"/>
      <c r="G115" s="83">
        <f t="shared" si="7"/>
        <v>0</v>
      </c>
    </row>
    <row r="117" spans="1:7">
      <c r="A117" s="86" t="s">
        <v>71</v>
      </c>
      <c r="B117" s="77" t="s">
        <v>256</v>
      </c>
      <c r="C117" s="78">
        <v>75</v>
      </c>
      <c r="D117" s="78"/>
      <c r="E117" s="77"/>
      <c r="F117" s="97"/>
      <c r="G117" s="81">
        <f t="shared" ref="G117:G126" si="8">(C117*E117)-F117</f>
        <v>0</v>
      </c>
    </row>
    <row r="118" spans="1:7">
      <c r="A118" s="137"/>
      <c r="B118" s="85" t="s">
        <v>257</v>
      </c>
      <c r="C118" s="78">
        <v>250</v>
      </c>
      <c r="D118" s="78"/>
      <c r="E118" s="77"/>
      <c r="F118" s="83"/>
      <c r="G118" s="83">
        <f t="shared" si="8"/>
        <v>0</v>
      </c>
    </row>
    <row r="119" spans="1:7">
      <c r="A119" s="138"/>
      <c r="B119" s="85" t="s">
        <v>258</v>
      </c>
      <c r="C119" s="77"/>
      <c r="D119" s="77"/>
      <c r="E119" s="77"/>
      <c r="F119" s="83"/>
      <c r="G119" s="83">
        <f t="shared" si="8"/>
        <v>0</v>
      </c>
    </row>
    <row r="120" spans="1:7">
      <c r="A120" s="138"/>
      <c r="B120" s="85" t="s">
        <v>259</v>
      </c>
      <c r="C120" s="77"/>
      <c r="D120" s="77"/>
      <c r="E120" s="77"/>
      <c r="F120" s="83"/>
      <c r="G120" s="83">
        <f t="shared" si="8"/>
        <v>0</v>
      </c>
    </row>
    <row r="121" spans="1:7">
      <c r="A121" s="138"/>
      <c r="B121" s="85" t="s">
        <v>260</v>
      </c>
      <c r="C121" s="78">
        <v>125</v>
      </c>
      <c r="D121" s="78"/>
      <c r="E121" s="77"/>
      <c r="F121" s="83"/>
      <c r="G121" s="83">
        <f t="shared" si="8"/>
        <v>0</v>
      </c>
    </row>
    <row r="122" spans="1:7">
      <c r="A122" s="138"/>
      <c r="B122" s="85" t="s">
        <v>261</v>
      </c>
      <c r="C122" s="78">
        <v>50</v>
      </c>
      <c r="D122" s="78"/>
      <c r="E122" s="77"/>
      <c r="F122" s="83"/>
      <c r="G122" s="83">
        <f t="shared" si="8"/>
        <v>0</v>
      </c>
    </row>
    <row r="123" spans="1:7">
      <c r="A123" s="138"/>
      <c r="B123" s="85" t="s">
        <v>262</v>
      </c>
      <c r="C123" s="78">
        <v>25</v>
      </c>
      <c r="D123" s="78"/>
      <c r="E123" s="77"/>
      <c r="F123" s="83"/>
      <c r="G123" s="83">
        <f t="shared" si="8"/>
        <v>0</v>
      </c>
    </row>
    <row r="124" spans="1:7">
      <c r="A124" s="138"/>
      <c r="B124" s="85" t="s">
        <v>263</v>
      </c>
      <c r="C124" s="77"/>
      <c r="D124" s="77"/>
      <c r="E124" s="77"/>
      <c r="F124" s="83"/>
      <c r="G124" s="83">
        <f t="shared" si="8"/>
        <v>0</v>
      </c>
    </row>
    <row r="125" spans="1:7">
      <c r="A125" s="138"/>
      <c r="B125" s="85" t="s">
        <v>264</v>
      </c>
      <c r="C125" s="78">
        <v>38</v>
      </c>
      <c r="D125" s="78"/>
      <c r="E125" s="77"/>
      <c r="F125" s="83"/>
      <c r="G125" s="83">
        <f t="shared" si="8"/>
        <v>0</v>
      </c>
    </row>
    <row r="126" spans="1:7">
      <c r="A126" s="139"/>
      <c r="B126" s="85" t="s">
        <v>265</v>
      </c>
      <c r="C126" s="78">
        <v>300</v>
      </c>
      <c r="D126" s="78"/>
      <c r="E126" s="77"/>
      <c r="F126" s="83"/>
      <c r="G126" s="83">
        <f t="shared" si="8"/>
        <v>0</v>
      </c>
    </row>
    <row r="128" spans="1:7">
      <c r="A128" s="86" t="s">
        <v>75</v>
      </c>
      <c r="B128" s="77" t="s">
        <v>256</v>
      </c>
      <c r="C128" s="78">
        <v>75</v>
      </c>
      <c r="D128" s="78"/>
      <c r="E128" s="77"/>
      <c r="F128" s="97"/>
      <c r="G128" s="81">
        <f t="shared" ref="G128:G137" si="9">(C128*E128)-F128</f>
        <v>0</v>
      </c>
    </row>
    <row r="129" spans="1:7">
      <c r="A129" s="137"/>
      <c r="B129" s="85" t="s">
        <v>257</v>
      </c>
      <c r="C129" s="78">
        <v>250</v>
      </c>
      <c r="D129" s="78"/>
      <c r="E129" s="77"/>
      <c r="F129" s="83"/>
      <c r="G129" s="83">
        <f t="shared" si="9"/>
        <v>0</v>
      </c>
    </row>
    <row r="130" spans="1:7">
      <c r="A130" s="138"/>
      <c r="B130" s="85" t="s">
        <v>258</v>
      </c>
      <c r="C130" s="77"/>
      <c r="D130" s="77"/>
      <c r="E130" s="77"/>
      <c r="F130" s="83"/>
      <c r="G130" s="83">
        <f t="shared" si="9"/>
        <v>0</v>
      </c>
    </row>
    <row r="131" spans="1:7">
      <c r="A131" s="138"/>
      <c r="B131" s="85" t="s">
        <v>259</v>
      </c>
      <c r="C131" s="77"/>
      <c r="D131" s="77"/>
      <c r="E131" s="77"/>
      <c r="F131" s="83"/>
      <c r="G131" s="83">
        <f t="shared" si="9"/>
        <v>0</v>
      </c>
    </row>
    <row r="132" spans="1:7">
      <c r="A132" s="138"/>
      <c r="B132" s="85" t="s">
        <v>260</v>
      </c>
      <c r="C132" s="78">
        <v>125</v>
      </c>
      <c r="D132" s="78"/>
      <c r="E132" s="77"/>
      <c r="F132" s="83"/>
      <c r="G132" s="83">
        <f t="shared" si="9"/>
        <v>0</v>
      </c>
    </row>
    <row r="133" spans="1:7">
      <c r="A133" s="138"/>
      <c r="B133" s="85" t="s">
        <v>261</v>
      </c>
      <c r="C133" s="78">
        <v>50</v>
      </c>
      <c r="D133" s="78"/>
      <c r="E133" s="77"/>
      <c r="F133" s="83"/>
      <c r="G133" s="83">
        <f t="shared" si="9"/>
        <v>0</v>
      </c>
    </row>
    <row r="134" spans="1:7">
      <c r="A134" s="138"/>
      <c r="B134" s="85" t="s">
        <v>262</v>
      </c>
      <c r="C134" s="78">
        <v>25</v>
      </c>
      <c r="D134" s="78"/>
      <c r="E134" s="77"/>
      <c r="F134" s="83"/>
      <c r="G134" s="83">
        <f t="shared" si="9"/>
        <v>0</v>
      </c>
    </row>
    <row r="135" spans="1:7">
      <c r="A135" s="138"/>
      <c r="B135" s="85" t="s">
        <v>263</v>
      </c>
      <c r="C135" s="77"/>
      <c r="D135" s="77"/>
      <c r="E135" s="77"/>
      <c r="F135" s="83"/>
      <c r="G135" s="83">
        <f t="shared" si="9"/>
        <v>0</v>
      </c>
    </row>
    <row r="136" spans="1:7">
      <c r="A136" s="138"/>
      <c r="B136" s="85" t="s">
        <v>264</v>
      </c>
      <c r="C136" s="78">
        <v>38</v>
      </c>
      <c r="D136" s="78"/>
      <c r="E136" s="77"/>
      <c r="F136" s="83"/>
      <c r="G136" s="83">
        <f t="shared" si="9"/>
        <v>0</v>
      </c>
    </row>
    <row r="137" spans="1:7">
      <c r="A137" s="139"/>
      <c r="B137" s="85" t="s">
        <v>265</v>
      </c>
      <c r="C137" s="78">
        <v>300</v>
      </c>
      <c r="D137" s="78"/>
      <c r="E137" s="77"/>
      <c r="F137" s="83"/>
      <c r="G137" s="83">
        <f t="shared" si="9"/>
        <v>0</v>
      </c>
    </row>
    <row r="139" spans="1:7">
      <c r="A139" s="86" t="s">
        <v>77</v>
      </c>
      <c r="B139" s="77" t="s">
        <v>256</v>
      </c>
      <c r="C139" s="78">
        <v>75</v>
      </c>
      <c r="D139" s="78"/>
      <c r="E139" s="77"/>
      <c r="F139" s="97"/>
      <c r="G139" s="81">
        <f t="shared" ref="G139:G148" si="10">(C139*E139)-F139</f>
        <v>0</v>
      </c>
    </row>
    <row r="140" spans="1:7">
      <c r="A140" s="137"/>
      <c r="B140" s="85" t="s">
        <v>257</v>
      </c>
      <c r="C140" s="78">
        <v>250</v>
      </c>
      <c r="D140" s="78"/>
      <c r="E140" s="77"/>
      <c r="F140" s="83"/>
      <c r="G140" s="83">
        <f t="shared" si="10"/>
        <v>0</v>
      </c>
    </row>
    <row r="141" spans="1:7">
      <c r="A141" s="138"/>
      <c r="B141" s="85" t="s">
        <v>258</v>
      </c>
      <c r="C141" s="77"/>
      <c r="D141" s="77"/>
      <c r="E141" s="77"/>
      <c r="F141" s="83"/>
      <c r="G141" s="83">
        <f t="shared" si="10"/>
        <v>0</v>
      </c>
    </row>
    <row r="142" spans="1:7">
      <c r="A142" s="138"/>
      <c r="B142" s="85" t="s">
        <v>259</v>
      </c>
      <c r="C142" s="77"/>
      <c r="D142" s="77"/>
      <c r="E142" s="77"/>
      <c r="F142" s="83"/>
      <c r="G142" s="83">
        <f t="shared" si="10"/>
        <v>0</v>
      </c>
    </row>
    <row r="143" spans="1:7">
      <c r="A143" s="138"/>
      <c r="B143" s="85" t="s">
        <v>260</v>
      </c>
      <c r="C143" s="78">
        <v>125</v>
      </c>
      <c r="D143" s="78"/>
      <c r="E143" s="77"/>
      <c r="F143" s="83"/>
      <c r="G143" s="83">
        <f t="shared" si="10"/>
        <v>0</v>
      </c>
    </row>
    <row r="144" spans="1:7">
      <c r="A144" s="138"/>
      <c r="B144" s="85" t="s">
        <v>261</v>
      </c>
      <c r="C144" s="78">
        <v>50</v>
      </c>
      <c r="D144" s="78"/>
      <c r="E144" s="77"/>
      <c r="F144" s="83"/>
      <c r="G144" s="83">
        <f t="shared" si="10"/>
        <v>0</v>
      </c>
    </row>
    <row r="145" spans="1:7">
      <c r="A145" s="138"/>
      <c r="B145" s="85" t="s">
        <v>262</v>
      </c>
      <c r="C145" s="78">
        <v>25</v>
      </c>
      <c r="D145" s="78"/>
      <c r="E145" s="77"/>
      <c r="F145" s="83"/>
      <c r="G145" s="83">
        <f t="shared" si="10"/>
        <v>0</v>
      </c>
    </row>
    <row r="146" spans="1:7">
      <c r="A146" s="138"/>
      <c r="B146" s="85" t="s">
        <v>263</v>
      </c>
      <c r="C146" s="77"/>
      <c r="D146" s="77"/>
      <c r="E146" s="77"/>
      <c r="F146" s="83"/>
      <c r="G146" s="83">
        <f t="shared" si="10"/>
        <v>0</v>
      </c>
    </row>
    <row r="147" spans="1:7">
      <c r="A147" s="138"/>
      <c r="B147" s="85" t="s">
        <v>264</v>
      </c>
      <c r="C147" s="78">
        <v>38</v>
      </c>
      <c r="D147" s="78"/>
      <c r="E147" s="77"/>
      <c r="F147" s="83"/>
      <c r="G147" s="83">
        <f t="shared" si="10"/>
        <v>0</v>
      </c>
    </row>
    <row r="148" spans="1:7">
      <c r="A148" s="139"/>
      <c r="B148" s="85" t="s">
        <v>265</v>
      </c>
      <c r="C148" s="78">
        <v>300</v>
      </c>
      <c r="D148" s="78"/>
      <c r="E148" s="77"/>
      <c r="F148" s="83"/>
      <c r="G148" s="83">
        <f t="shared" si="10"/>
        <v>0</v>
      </c>
    </row>
    <row r="150" spans="1:7">
      <c r="A150" s="86" t="s">
        <v>79</v>
      </c>
      <c r="B150" s="77" t="s">
        <v>256</v>
      </c>
      <c r="C150" s="78">
        <v>75</v>
      </c>
      <c r="D150" s="78">
        <v>75</v>
      </c>
      <c r="E150" s="77">
        <v>78</v>
      </c>
      <c r="F150" s="97"/>
      <c r="G150" s="81">
        <f t="shared" ref="G150:G159" si="11">(C150*E150)-F150</f>
        <v>5850</v>
      </c>
    </row>
    <row r="151" spans="1:7">
      <c r="A151" s="137"/>
      <c r="B151" s="85" t="s">
        <v>257</v>
      </c>
      <c r="C151" s="78">
        <v>250</v>
      </c>
      <c r="D151" s="78">
        <v>250</v>
      </c>
      <c r="E151" s="77">
        <v>21</v>
      </c>
      <c r="F151" s="83"/>
      <c r="G151" s="83">
        <f t="shared" si="11"/>
        <v>5250</v>
      </c>
    </row>
    <row r="152" spans="1:7">
      <c r="A152" s="138"/>
      <c r="B152" s="85" t="s">
        <v>258</v>
      </c>
      <c r="C152" s="77"/>
      <c r="D152" s="77"/>
      <c r="E152" s="77">
        <v>1</v>
      </c>
      <c r="F152" s="83"/>
      <c r="G152" s="83">
        <f t="shared" si="11"/>
        <v>0</v>
      </c>
    </row>
    <row r="153" spans="1:7">
      <c r="A153" s="138"/>
      <c r="B153" s="85" t="s">
        <v>259</v>
      </c>
      <c r="C153" s="77"/>
      <c r="D153" s="77"/>
      <c r="E153" s="77">
        <v>4</v>
      </c>
      <c r="F153" s="83"/>
      <c r="G153" s="83">
        <f t="shared" si="11"/>
        <v>0</v>
      </c>
    </row>
    <row r="154" spans="1:7">
      <c r="A154" s="138"/>
      <c r="B154" s="85" t="s">
        <v>260</v>
      </c>
      <c r="C154" s="78">
        <v>125</v>
      </c>
      <c r="D154" s="78">
        <v>125</v>
      </c>
      <c r="E154" s="77">
        <v>4</v>
      </c>
      <c r="F154" s="83"/>
      <c r="G154" s="83">
        <f t="shared" si="11"/>
        <v>500</v>
      </c>
    </row>
    <row r="155" spans="1:7">
      <c r="A155" s="138"/>
      <c r="B155" s="85" t="s">
        <v>261</v>
      </c>
      <c r="C155" s="78">
        <v>50</v>
      </c>
      <c r="D155" s="78">
        <v>75</v>
      </c>
      <c r="E155" s="77">
        <v>50</v>
      </c>
      <c r="F155" s="83"/>
      <c r="G155" s="83">
        <f t="shared" si="11"/>
        <v>2500</v>
      </c>
    </row>
    <row r="156" spans="1:7">
      <c r="A156" s="138"/>
      <c r="B156" s="85" t="s">
        <v>262</v>
      </c>
      <c r="C156" s="78">
        <v>25</v>
      </c>
      <c r="D156" s="78">
        <v>35</v>
      </c>
      <c r="E156" s="77">
        <v>106</v>
      </c>
      <c r="F156" s="83"/>
      <c r="G156" s="83">
        <f t="shared" si="11"/>
        <v>2650</v>
      </c>
    </row>
    <row r="157" spans="1:7">
      <c r="A157" s="138"/>
      <c r="B157" s="85" t="s">
        <v>263</v>
      </c>
      <c r="C157" s="77"/>
      <c r="D157" s="77"/>
      <c r="E157" s="77"/>
      <c r="F157" s="83"/>
      <c r="G157" s="83">
        <f t="shared" si="11"/>
        <v>0</v>
      </c>
    </row>
    <row r="158" spans="1:7">
      <c r="A158" s="138"/>
      <c r="B158" s="85" t="s">
        <v>264</v>
      </c>
      <c r="C158" s="78">
        <v>38</v>
      </c>
      <c r="D158" s="78"/>
      <c r="E158" s="77"/>
      <c r="F158" s="83"/>
      <c r="G158" s="83">
        <f t="shared" si="11"/>
        <v>0</v>
      </c>
    </row>
    <row r="159" spans="1:7">
      <c r="A159" s="139"/>
      <c r="B159" s="85" t="s">
        <v>265</v>
      </c>
      <c r="C159" s="78">
        <v>300</v>
      </c>
      <c r="D159" s="78"/>
      <c r="E159" s="77"/>
      <c r="F159" s="83"/>
      <c r="G159" s="83">
        <f t="shared" si="11"/>
        <v>0</v>
      </c>
    </row>
    <row r="161" spans="1:7">
      <c r="A161" s="86" t="s">
        <v>29</v>
      </c>
      <c r="B161" s="77" t="s">
        <v>256</v>
      </c>
      <c r="C161" s="78">
        <v>75</v>
      </c>
      <c r="D161" s="78"/>
      <c r="E161" s="77"/>
      <c r="F161" s="97"/>
      <c r="G161" s="81">
        <f t="shared" ref="G161:G170" si="12">(C161*E161)-F161</f>
        <v>0</v>
      </c>
    </row>
    <row r="162" spans="1:7">
      <c r="A162" s="137"/>
      <c r="B162" s="85" t="s">
        <v>257</v>
      </c>
      <c r="C162" s="78">
        <v>250</v>
      </c>
      <c r="D162" s="78"/>
      <c r="E162" s="77"/>
      <c r="F162" s="83"/>
      <c r="G162" s="83">
        <f t="shared" si="12"/>
        <v>0</v>
      </c>
    </row>
    <row r="163" spans="1:7">
      <c r="A163" s="138"/>
      <c r="B163" s="85" t="s">
        <v>258</v>
      </c>
      <c r="C163" s="77"/>
      <c r="D163" s="77"/>
      <c r="E163" s="77"/>
      <c r="F163" s="83"/>
      <c r="G163" s="83">
        <f t="shared" si="12"/>
        <v>0</v>
      </c>
    </row>
    <row r="164" spans="1:7">
      <c r="A164" s="138"/>
      <c r="B164" s="85" t="s">
        <v>259</v>
      </c>
      <c r="C164" s="77"/>
      <c r="D164" s="77"/>
      <c r="E164" s="77"/>
      <c r="F164" s="83"/>
      <c r="G164" s="83">
        <f t="shared" si="12"/>
        <v>0</v>
      </c>
    </row>
    <row r="165" spans="1:7">
      <c r="A165" s="138"/>
      <c r="B165" s="85" t="s">
        <v>260</v>
      </c>
      <c r="C165" s="78">
        <v>125</v>
      </c>
      <c r="D165" s="78"/>
      <c r="E165" s="77"/>
      <c r="F165" s="83"/>
      <c r="G165" s="83">
        <f t="shared" si="12"/>
        <v>0</v>
      </c>
    </row>
    <row r="166" spans="1:7">
      <c r="A166" s="138"/>
      <c r="B166" s="85" t="s">
        <v>261</v>
      </c>
      <c r="C166" s="78">
        <v>50</v>
      </c>
      <c r="D166" s="78"/>
      <c r="E166" s="77"/>
      <c r="F166" s="83"/>
      <c r="G166" s="83">
        <f t="shared" si="12"/>
        <v>0</v>
      </c>
    </row>
    <row r="167" spans="1:7">
      <c r="A167" s="138"/>
      <c r="B167" s="85" t="s">
        <v>262</v>
      </c>
      <c r="C167" s="78">
        <v>25</v>
      </c>
      <c r="D167" s="78"/>
      <c r="E167" s="77"/>
      <c r="F167" s="83"/>
      <c r="G167" s="83">
        <f t="shared" si="12"/>
        <v>0</v>
      </c>
    </row>
    <row r="168" spans="1:7">
      <c r="A168" s="138"/>
      <c r="B168" s="85" t="s">
        <v>263</v>
      </c>
      <c r="C168" s="77"/>
      <c r="D168" s="77"/>
      <c r="E168" s="77"/>
      <c r="F168" s="83"/>
      <c r="G168" s="83">
        <f t="shared" si="12"/>
        <v>0</v>
      </c>
    </row>
    <row r="169" spans="1:7">
      <c r="A169" s="138"/>
      <c r="B169" s="85" t="s">
        <v>264</v>
      </c>
      <c r="C169" s="78">
        <v>38</v>
      </c>
      <c r="D169" s="78"/>
      <c r="E169" s="77"/>
      <c r="F169" s="83"/>
      <c r="G169" s="83">
        <f t="shared" si="12"/>
        <v>0</v>
      </c>
    </row>
    <row r="170" spans="1:7">
      <c r="A170" s="139"/>
      <c r="B170" s="85" t="s">
        <v>265</v>
      </c>
      <c r="C170" s="78">
        <v>300</v>
      </c>
      <c r="D170" s="78"/>
      <c r="E170" s="77"/>
      <c r="F170" s="83"/>
      <c r="G170" s="83">
        <f t="shared" si="12"/>
        <v>0</v>
      </c>
    </row>
  </sheetData>
  <mergeCells count="16">
    <mergeCell ref="A162:A170"/>
    <mergeCell ref="A107:A115"/>
    <mergeCell ref="A118:A126"/>
    <mergeCell ref="A129:A137"/>
    <mergeCell ref="A140:A148"/>
    <mergeCell ref="A151:A159"/>
    <mergeCell ref="A51:A59"/>
    <mergeCell ref="A62:A71"/>
    <mergeCell ref="A74:A82"/>
    <mergeCell ref="A85:A93"/>
    <mergeCell ref="A96:A104"/>
    <mergeCell ref="A2:F2"/>
    <mergeCell ref="A4:A12"/>
    <mergeCell ref="A15:A23"/>
    <mergeCell ref="A26:A37"/>
    <mergeCell ref="A40:A48"/>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aec8067d-11cc-467f-9a4e-d3bc38bf3f68">
      <UserInfo>
        <DisplayName/>
        <AccountId xsi:nil="true"/>
        <AccountType/>
      </UserInfo>
    </SharedWithUsers>
    <lcf76f155ced4ddcb4097134ff3c332f xmlns="b0a63593-2647-4846-8c97-f25de6edb2b1">
      <Terms xmlns="http://schemas.microsoft.com/office/infopath/2007/PartnerControls"/>
    </lcf76f155ced4ddcb4097134ff3c332f>
    <TaxCatchAll xmlns="aec8067d-11cc-467f-9a4e-d3bc38bf3f68" xsi:nil="true"/>
    <_ip_UnifiedCompliancePolicyUIAction xmlns="http://schemas.microsoft.com/sharepoint/v3" xsi:nil="true"/>
    <_ip_UnifiedCompliancePolicyProperties xmlns="http://schemas.microsoft.com/sharepoint/v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6408AB9EA14AA4F9EE5033427FAF3DB" ma:contentTypeVersion="17" ma:contentTypeDescription="Create a new document." ma:contentTypeScope="" ma:versionID="7fef410120c7298904b5d680c7f621a6">
  <xsd:schema xmlns:xsd="http://www.w3.org/2001/XMLSchema" xmlns:xs="http://www.w3.org/2001/XMLSchema" xmlns:p="http://schemas.microsoft.com/office/2006/metadata/properties" xmlns:ns1="http://schemas.microsoft.com/sharepoint/v3" xmlns:ns2="aec8067d-11cc-467f-9a4e-d3bc38bf3f68" xmlns:ns3="b0a63593-2647-4846-8c97-f25de6edb2b1" targetNamespace="http://schemas.microsoft.com/office/2006/metadata/properties" ma:root="true" ma:fieldsID="359393778a20aee8cbcd037b09f7c8aa" ns1:_="" ns2:_="" ns3:_="">
    <xsd:import namespace="http://schemas.microsoft.com/sharepoint/v3"/>
    <xsd:import namespace="aec8067d-11cc-467f-9a4e-d3bc38bf3f68"/>
    <xsd:import namespace="b0a63593-2647-4846-8c97-f25de6edb2b1"/>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LengthInSeconds"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ObjectDetectorVersions" minOccurs="0"/>
                <xsd:element ref="ns3:MediaServiceSearchProperties" minOccurs="0"/>
                <xsd:element ref="ns3:MediaServiceLocation"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3" nillable="true" ma:displayName="Unified Compliance Policy Properties" ma:hidden="true" ma:internalName="_ip_UnifiedCompliancePolicyProperties">
      <xsd:simpleType>
        <xsd:restriction base="dms:Note"/>
      </xsd:simpleType>
    </xsd:element>
    <xsd:element name="_ip_UnifiedCompliancePolicyUIAction" ma:index="24"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ec8067d-11cc-467f-9a4e-d3bc38bf3f68"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337416c7-e4e9-4915-b839-b6cfd3b67f6a}" ma:internalName="TaxCatchAll" ma:showField="CatchAllData" ma:web="aec8067d-11cc-467f-9a4e-d3bc38bf3f68">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b0a63593-2647-4846-8c97-f25de6edb2b1"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73ef3880-fddf-4cab-814b-b2d9a9e6ff23"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154331A-8530-4507-A9F5-D417AAD29E6C}"/>
</file>

<file path=customXml/itemProps2.xml><?xml version="1.0" encoding="utf-8"?>
<ds:datastoreItem xmlns:ds="http://schemas.openxmlformats.org/officeDocument/2006/customXml" ds:itemID="{F901DDE3-B7AF-4027-9326-5A771D96EB16}"/>
</file>

<file path=customXml/itemProps3.xml><?xml version="1.0" encoding="utf-8"?>
<ds:datastoreItem xmlns:ds="http://schemas.openxmlformats.org/officeDocument/2006/customXml" ds:itemID="{74C59034-C0D4-4F8D-9E5D-B8EE297F3C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Craig Wolynez</dc:creator>
  <cp:keywords/>
  <dc:description/>
  <cp:lastModifiedBy/>
  <cp:revision/>
  <dcterms:created xsi:type="dcterms:W3CDTF">2025-07-16T18:09:53Z</dcterms:created>
  <dcterms:modified xsi:type="dcterms:W3CDTF">2026-03-12T20:01:35Z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xd_ProgID">
    <vt:lpwstr/>
  </property>
  <property fmtid="{D5CDD505-2E9C-101B-9397-08002B2CF9AE}" pid="3" name="MediaServiceImageTags">
    <vt:lpwstr/>
  </property>
  <property fmtid="{D5CDD505-2E9C-101B-9397-08002B2CF9AE}" pid="4" name="ContentTypeId">
    <vt:lpwstr>0x01010086408AB9EA14AA4F9EE5033427FAF3DB</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